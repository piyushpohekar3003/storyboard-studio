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stors" sheetId="1" r:id="rId5"/>
    <sheet state="visible" name="Finone" sheetId="2" r:id="rId6"/>
    <sheet state="visible" name="Markets" sheetId="3" r:id="rId7"/>
    <sheet state="visible" name="Main" sheetId="4" r:id="rId8"/>
    <sheet state="visible" name="Telugu" sheetId="5" r:id="rId9"/>
    <sheet state="hidden" name="Comp analysis" sheetId="6" r:id="rId10"/>
    <sheet state="hidden" name="Invs Supply Analytics" sheetId="7" r:id="rId11"/>
    <sheet state="hidden" name="Analytics - Inv Dump" sheetId="8" r:id="rId12"/>
    <sheet state="visible" name="Input" sheetId="9" r:id="rId13"/>
    <sheet state="visible" name="Live Dashboard" sheetId="10" r:id="rId14"/>
    <sheet state="visible" name="Input 1" sheetId="11" r:id="rId15"/>
    <sheet state="visible" name="Live dashboard 1" sheetId="12" r:id="rId16"/>
  </sheets>
  <definedNames>
    <definedName hidden="1" localSheetId="0" name="_xlnm._FilterDatabase">Investors!$A$1:$F$132</definedName>
    <definedName hidden="1" localSheetId="1" name="_xlnm._FilterDatabase">Finone!$A$1:$F$120</definedName>
  </definedNames>
  <calcPr/>
  <pivotCaches>
    <pivotCache cacheId="0" r:id="rId17"/>
    <pivotCache cacheId="1" r:id="rId18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tc={0ff15ebc-cc35-4b53-8cbc-f2f7cd951c13}</author>
    <author>tc={7bc1b9b9-2470-40be-8ae6-09a1056e6246}</author>
    <author>tc={abcb378f-722e-4f90-afc0-366bd7af5a3c}</author>
  </authors>
  <commentList>
    <comment authorId="0" xr:uid="{0ff15ebc-cc35-4b53-8cbc-f2f7cd951c1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Thinking of filling this gap with some shorts instead - native shorts @sayyedfarhan039@gmail.com
Assigned to sayyedfarhan039@gmail.com
</t>
      </text>
    </comment>
    <comment authorId="1" xr:uid="{7bc1b9b9-2470-40be-8ae6-09a1056e6246}" ref="C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 look at new styles for this
</t>
      </text>
    </comment>
    <comment authorId="2" xr:uid="{abcb378f-722e-4f90-afc0-366bd7af5a3c}" ref="B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on hold - because all metal stocks fell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tc={f557b6fc-24bd-41d0-9bee-4e151f37ee2c}</author>
  </authors>
  <commentList>
    <comment authorId="0" xr:uid="{f557b6fc-24bd-41d0-9bee-4e151f37ee2c}" ref="B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Delayed because of edit issues
</t>
      </text>
    </comment>
  </commentList>
</comments>
</file>

<file path=xl/sharedStrings.xml><?xml version="1.0" encoding="utf-8"?>
<sst xmlns="http://schemas.openxmlformats.org/spreadsheetml/2006/main" count="1600" uniqueCount="627">
  <si>
    <t>Go live dates</t>
  </si>
  <si>
    <t>LF</t>
  </si>
  <si>
    <t>Shorts</t>
  </si>
  <si>
    <t>Status</t>
  </si>
  <si>
    <t>Assets</t>
  </si>
  <si>
    <t>Column 1</t>
  </si>
  <si>
    <t>Learnings:</t>
  </si>
  <si>
    <t>Gold rush</t>
  </si>
  <si>
    <t>Published</t>
  </si>
  <si>
    <t>S1: Gold Rush - Storyboarding</t>
  </si>
  <si>
    <t>Published 5 factors IPO - on Monday (10pm) -- didn't pick that well; Traffic source proportion from Yt features not much; lesser impressions</t>
  </si>
  <si>
    <t>Gold rush shorts 1</t>
  </si>
  <si>
    <t>Gold rush shorts 2</t>
  </si>
  <si>
    <t>Emerging Themes</t>
  </si>
  <si>
    <t>S02 - Emerging Themes</t>
  </si>
  <si>
    <t>ET Shorts 1</t>
  </si>
  <si>
    <t>ET Shorts 2</t>
  </si>
  <si>
    <t>PE Ratio</t>
  </si>
  <si>
    <t>S03 - How to make sense of PE Ratio?</t>
  </si>
  <si>
    <t>PE Shorts 1</t>
  </si>
  <si>
    <t>PE Shorts 2</t>
  </si>
  <si>
    <t>PE Shorts 3</t>
  </si>
  <si>
    <t xml:space="preserve">ROCE </t>
  </si>
  <si>
    <t>S04 - How to make sense of ROCE?</t>
  </si>
  <si>
    <t>ROCE Shorts 1</t>
  </si>
  <si>
    <t>ROCE Shorts 2</t>
  </si>
  <si>
    <t>5 Factors - IPO</t>
  </si>
  <si>
    <t>S05 - Top 5 Factors to check before IPO</t>
  </si>
  <si>
    <t>IPO Shorts 1</t>
  </si>
  <si>
    <t>IPO Shorts 2</t>
  </si>
  <si>
    <t>Ready</t>
  </si>
  <si>
    <t>Is Stock Market Overvalued</t>
  </si>
  <si>
    <t>S06 - Is the Indian Stock Market Overvalued?</t>
  </si>
  <si>
    <t xml:space="preserve">SM Shorts 1 </t>
  </si>
  <si>
    <t>SM Shorts 2</t>
  </si>
  <si>
    <t>SM (BTS)</t>
  </si>
  <si>
    <t>Emerging Themes Part 2</t>
  </si>
  <si>
    <t>S07 - Emerging Themes Part 2</t>
  </si>
  <si>
    <t xml:space="preserve">ET Part 2 - Teaser/BTS </t>
  </si>
  <si>
    <t>What i learned about investing from Darwin -- (after we build some traction)</t>
  </si>
  <si>
    <t>Teaser: Community post; IG Story; Linkedin post; TL; WA</t>
  </si>
  <si>
    <t>Long form topics</t>
  </si>
  <si>
    <t>Where are DIIs putting in their money? - India investing in itself
DII - FII</t>
  </si>
  <si>
    <t>2026 Special??</t>
  </si>
  <si>
    <t xml:space="preserve">Art of picking of stocks </t>
  </si>
  <si>
    <t>S08 - Art of picking stocks</t>
  </si>
  <si>
    <t xml:space="preserve">Battle of the asset classes - </t>
  </si>
  <si>
    <t xml:space="preserve">Art of picking stocks 1 </t>
  </si>
  <si>
    <t>Lucky vs avg vs unlucky investor</t>
  </si>
  <si>
    <t>Art of picking stocks 2</t>
  </si>
  <si>
    <t>ICICI Prudential AMC IPO</t>
  </si>
  <si>
    <t>ICICI Prudential Asset Management Company IPO</t>
  </si>
  <si>
    <t>ICICI IPO Shorts</t>
  </si>
  <si>
    <t>Debt to Equity</t>
  </si>
  <si>
    <t>S09 - Debt to Equity</t>
  </si>
  <si>
    <t>Passive income is a scam!</t>
  </si>
  <si>
    <t>DE Shorts 1</t>
  </si>
  <si>
    <t>SIF</t>
  </si>
  <si>
    <t>DE Shorts 2</t>
  </si>
  <si>
    <t>ROE</t>
  </si>
  <si>
    <t>S10 - ROE</t>
  </si>
  <si>
    <t>ROE Shorts 1</t>
  </si>
  <si>
    <t>ROE Shorts 2</t>
  </si>
  <si>
    <t>Best performing Stocks of 2025</t>
  </si>
  <si>
    <t>S11:  Top stocks of 2025</t>
  </si>
  <si>
    <t>10th Thursday</t>
  </si>
  <si>
    <t>FILLER SHORTS</t>
  </si>
  <si>
    <t>3 Sectors for 2026</t>
  </si>
  <si>
    <t>Best performing stocks shorts 1</t>
  </si>
  <si>
    <t>Best performing stocks shorts 2</t>
  </si>
  <si>
    <t>Top 3 ETFs to invest in?</t>
  </si>
  <si>
    <t>S13 - Battle of Asset classes</t>
  </si>
  <si>
    <t>16th Tuesday</t>
  </si>
  <si>
    <t xml:space="preserve">Stock market wrap </t>
  </si>
  <si>
    <t>Shorts S02 - Year wrap</t>
  </si>
  <si>
    <t>24th, Wednesday</t>
  </si>
  <si>
    <t>24th -- Auto stocks &amp; What FIIs &amp; DIIs</t>
  </si>
  <si>
    <t>US themes</t>
  </si>
  <si>
    <t>S03 - US emerging themes</t>
  </si>
  <si>
    <t>Top 3 ETFs to invest shorts 1</t>
  </si>
  <si>
    <t>Top 3 ETFs to invest shorts 2</t>
  </si>
  <si>
    <t>??</t>
  </si>
  <si>
    <t>Battle of asset classes</t>
  </si>
  <si>
    <t>S12: Top 3 ETFs for your portfolio in 2026</t>
  </si>
  <si>
    <t>30th -- Stock market wrap</t>
  </si>
  <si>
    <t>Battle of asset classes shorts 1</t>
  </si>
  <si>
    <t>Battle of asset classes shorts 2</t>
  </si>
  <si>
    <t>Evergreen stocks discarded - &amp; reshot</t>
  </si>
  <si>
    <t>22nd, Monday</t>
  </si>
  <si>
    <t>Tobacco stocks</t>
  </si>
  <si>
    <t>S16 - Tobacco</t>
  </si>
  <si>
    <t>30th??</t>
  </si>
  <si>
    <t>Tobacco stocks shorts 1</t>
  </si>
  <si>
    <t>Battle of asset classes - EXP/ tobacco stocks shorts 2</t>
  </si>
  <si>
    <t>What FIIs &amp; DIIs are buying</t>
  </si>
  <si>
    <t>S15 - What are FIIs &amp; DIIs buying?</t>
  </si>
  <si>
    <t>2nd Jan</t>
  </si>
  <si>
    <t>Delayed because of technical delay's from Money media's end</t>
  </si>
  <si>
    <t>FIIs &amp; DIIs shorts 1</t>
  </si>
  <si>
    <t xml:space="preserve"> </t>
  </si>
  <si>
    <t>Gold vs Silver Surge</t>
  </si>
  <si>
    <t>S17 - Gold vs Silver</t>
  </si>
  <si>
    <t>Nock + Internal</t>
  </si>
  <si>
    <t>Gold vs Silver Shorts 1</t>
  </si>
  <si>
    <t xml:space="preserve">Sectors to watch Before Budget </t>
  </si>
  <si>
    <t>Shoot - Friday - 16th - MM</t>
  </si>
  <si>
    <t>Top 5 High Growth Undervalued stocks - Indian feel</t>
  </si>
  <si>
    <t>Shoot - Friday - 16th - Nock</t>
  </si>
  <si>
    <t>Sectors to watch Shorts 1</t>
  </si>
  <si>
    <t>Sectors to watch Shorts 2</t>
  </si>
  <si>
    <t>Evergreen stocks</t>
  </si>
  <si>
    <t>S14 - Evergreen stocks</t>
  </si>
  <si>
    <t>Nock</t>
  </si>
  <si>
    <t>Evergreen stocks shorts 1</t>
  </si>
  <si>
    <t>Gold silver shorts 3</t>
  </si>
  <si>
    <t>Shot</t>
  </si>
  <si>
    <t>EU Shorts - Native</t>
  </si>
  <si>
    <t>Gold silver shorts 2</t>
  </si>
  <si>
    <t>Evergreen stocks shorts 2</t>
  </si>
  <si>
    <t>EU deal - shorts</t>
  </si>
  <si>
    <t>Metals</t>
  </si>
  <si>
    <t>20th, Tuesday shoot. - Nock</t>
  </si>
  <si>
    <t>Metals Shorts 1</t>
  </si>
  <si>
    <t>Metals Shorts 2</t>
  </si>
  <si>
    <t>Sectors to watch after Budget</t>
  </si>
  <si>
    <t>2nd Feb shoot - Money Media</t>
  </si>
  <si>
    <t>High growth shorts</t>
  </si>
  <si>
    <t>Large cap Shorts 1</t>
  </si>
  <si>
    <t>Mutual Fund vs ETFs</t>
  </si>
  <si>
    <t>Shoot - 30 Jan - Nock</t>
  </si>
  <si>
    <t>Mutual funds vs ETF Shorts 2</t>
  </si>
  <si>
    <t>Mutual funds vs ETF Shorts 1</t>
  </si>
  <si>
    <t>Large cap stocks</t>
  </si>
  <si>
    <t>Shoot - 2/3feb</t>
  </si>
  <si>
    <t>Large cap shorts 2 - Eicher</t>
  </si>
  <si>
    <t xml:space="preserve">Silver - dollar </t>
  </si>
  <si>
    <t>SB - 11th feb</t>
  </si>
  <si>
    <t>REITs Vs inVitS</t>
  </si>
  <si>
    <t xml:space="preserve">5 Hidden Gems </t>
  </si>
  <si>
    <t>shoot - 10 feb</t>
  </si>
  <si>
    <t>50k</t>
  </si>
  <si>
    <t xml:space="preserve">Shorts 1 - screener query </t>
  </si>
  <si>
    <t>15k</t>
  </si>
  <si>
    <t>Jan</t>
  </si>
  <si>
    <t>Feb</t>
  </si>
  <si>
    <t>March</t>
  </si>
  <si>
    <t>35k-40k</t>
  </si>
  <si>
    <t>Solar panels - Trending</t>
  </si>
  <si>
    <t>S25 - 10 Stocks after Earnings result</t>
  </si>
  <si>
    <t>shoot - 18 feb</t>
  </si>
  <si>
    <t>Strong Q3 Results w strong fundamentals</t>
  </si>
  <si>
    <t>REITs Shorts 1</t>
  </si>
  <si>
    <t>Mid cap companies - comment small cap</t>
  </si>
  <si>
    <t>S26 - Mid cap companies</t>
  </si>
  <si>
    <t>shoot - 20 feb</t>
  </si>
  <si>
    <t>10k</t>
  </si>
  <si>
    <t>Hero shorts - mid cap</t>
  </si>
  <si>
    <t>Solar industries - earnings</t>
  </si>
  <si>
    <t>Cardinal sins of investing</t>
  </si>
  <si>
    <t>Force motors- hidden gem</t>
  </si>
  <si>
    <t>AU finance bank - mid cap</t>
  </si>
  <si>
    <t xml:space="preserve">Top 3 mutual funds and their 3 biggest bets </t>
  </si>
  <si>
    <t>shoot - 23 feb</t>
  </si>
  <si>
    <t>Praga Parikh</t>
  </si>
  <si>
    <t>War shorts 1</t>
  </si>
  <si>
    <t>Small cap Companies</t>
  </si>
  <si>
    <t>shoot - 24 feb</t>
  </si>
  <si>
    <t>War shorts 2</t>
  </si>
  <si>
    <t>Ambuja</t>
  </si>
  <si>
    <t>Global Investing</t>
  </si>
  <si>
    <t>Shoot - 25 Feb</t>
  </si>
  <si>
    <t>Shorts 1</t>
  </si>
  <si>
    <t>Silent winners of the Big themes -- Metals, ai, data center</t>
  </si>
  <si>
    <t>Cardinal sins - See if some shorts can be made</t>
  </si>
  <si>
    <t>Proxy investing shorts 1</t>
  </si>
  <si>
    <t>Proxy investing shorts 2</t>
  </si>
  <si>
    <t>Investing in Holding companies? - How can you buy a stock at 80% discount- What are hold cos buying? -- Hold cos making xx returns?</t>
  </si>
  <si>
    <t>Gold - trending</t>
  </si>
  <si>
    <t>Tax shorts 1</t>
  </si>
  <si>
    <t xml:space="preserve">Data centre - Proxy </t>
  </si>
  <si>
    <t>Tax shorts 2</t>
  </si>
  <si>
    <t>Tax shorts 3</t>
  </si>
  <si>
    <t>FII/DIIs buying?</t>
  </si>
  <si>
    <t>monday - firt cut, sb</t>
  </si>
  <si>
    <t>Data Centre Shorts 1</t>
  </si>
  <si>
    <t>Data Centre Shorts 2</t>
  </si>
  <si>
    <t>FIIs- Screener query</t>
  </si>
  <si>
    <t>GLP</t>
  </si>
  <si>
    <t>SB done</t>
  </si>
  <si>
    <t>Holding co Shorts 1</t>
  </si>
  <si>
    <t>Holding co Shorts 2</t>
  </si>
  <si>
    <t>What are promoters buying?</t>
  </si>
  <si>
    <t>SB WIP</t>
  </si>
  <si>
    <t>Next week - 2Inves LF + 1 Main LF</t>
  </si>
  <si>
    <t>Super Investors - What are they buying?</t>
  </si>
  <si>
    <t>Shoot - 30th</t>
  </si>
  <si>
    <t>Bear market</t>
  </si>
  <si>
    <t>Shoot - 1st April</t>
  </si>
  <si>
    <t>Shoot - 3rd April</t>
  </si>
  <si>
    <t>Analyzing stocks from the comments</t>
  </si>
  <si>
    <t>Quarterly result winners.- 5 Stocks</t>
  </si>
  <si>
    <t>Market at all time high- Where should you invest?</t>
  </si>
  <si>
    <t xml:space="preserve">Filler Shorts </t>
  </si>
  <si>
    <t>7 new topics</t>
  </si>
  <si>
    <t>Falling angels - Losers now -- But long term winners</t>
  </si>
  <si>
    <t>Shorts topics</t>
  </si>
  <si>
    <t>Comparison of 2 stocks from 1 sector</t>
  </si>
  <si>
    <t xml:space="preserve">Trending sector - weekly 1 </t>
  </si>
  <si>
    <t>Top 3 stocks</t>
  </si>
  <si>
    <t>Maharashtra Debt Crisis</t>
  </si>
  <si>
    <t>5 rules of Warren Buffett</t>
  </si>
  <si>
    <t xml:space="preserve">Re: Money vs Wealth </t>
  </si>
  <si>
    <t>Brent Crude</t>
  </si>
  <si>
    <t>Jamnagar Oil</t>
  </si>
  <si>
    <t>Re: Warren Buffett</t>
  </si>
  <si>
    <t>Edit WIP</t>
  </si>
  <si>
    <t>Has AI Finally Cracked IT</t>
  </si>
  <si>
    <t xml:space="preserve">Gold is falling amidst </t>
  </si>
  <si>
    <t>Scripting</t>
  </si>
  <si>
    <t>Date</t>
  </si>
  <si>
    <t>Topic</t>
  </si>
  <si>
    <t>Content Type</t>
  </si>
  <si>
    <t>Agency</t>
  </si>
  <si>
    <t xml:space="preserve">Tax Loss Harvesting </t>
  </si>
  <si>
    <t>Live</t>
  </si>
  <si>
    <t>Shubh</t>
  </si>
  <si>
    <t>1st half - Poll (20%+ CAGR)</t>
  </si>
  <si>
    <t>Poll</t>
  </si>
  <si>
    <t>2nd Half - EPF vs PPF vs NPS vs MF</t>
  </si>
  <si>
    <t>Editing</t>
  </si>
  <si>
    <t>7 equity MF over 20% CAGR</t>
  </si>
  <si>
    <t>Long Form</t>
  </si>
  <si>
    <t>Mango</t>
  </si>
  <si>
    <t>1st Half - Poll (around tax harvesting)</t>
  </si>
  <si>
    <t>Some old topic</t>
  </si>
  <si>
    <t>Tax Harvesting</t>
  </si>
  <si>
    <t>Tax Harvesting another shorts</t>
  </si>
  <si>
    <t>1st Half - Poll</t>
  </si>
  <si>
    <t>2nd half - shorts</t>
  </si>
  <si>
    <t>shorts</t>
  </si>
  <si>
    <t>Generate monthly income from your investments</t>
  </si>
  <si>
    <t>2nd half - Shorts</t>
  </si>
  <si>
    <t>1st half - Poll</t>
  </si>
  <si>
    <t>Life Cycle fund</t>
  </si>
  <si>
    <t>1st Half - poll</t>
  </si>
  <si>
    <t>Multicap vs flexi vs large &amp; Mid Cap</t>
  </si>
  <si>
    <t>Are MF too similar now?</t>
  </si>
  <si>
    <t>Research</t>
  </si>
  <si>
    <t>1st half - poll</t>
  </si>
  <si>
    <t>Are we entering low decades for equities</t>
  </si>
  <si>
    <t>FII vs DII</t>
  </si>
  <si>
    <t>All Weather Ray Dalio's Portfolio</t>
  </si>
  <si>
    <t>POC</t>
  </si>
  <si>
    <t>Shoot</t>
  </si>
  <si>
    <t>Bharat Coking Coal IPO</t>
  </si>
  <si>
    <t>Swati</t>
  </si>
  <si>
    <t>HDFC</t>
  </si>
  <si>
    <t>Why MRF's stock is the most expensive?</t>
  </si>
  <si>
    <t>Amagi Media IPO</t>
  </si>
  <si>
    <t>HDFC Shorts 2</t>
  </si>
  <si>
    <t>MRF Shorts 1</t>
  </si>
  <si>
    <t>Capital Stocks</t>
  </si>
  <si>
    <t>Capital shorts 1</t>
  </si>
  <si>
    <t>Shadowfax IPO</t>
  </si>
  <si>
    <t>Sanika</t>
  </si>
  <si>
    <t>Capital Shorts 2</t>
  </si>
  <si>
    <t>Power Stocks</t>
  </si>
  <si>
    <t>Aparna</t>
  </si>
  <si>
    <t>Power Stocks Shorts 1</t>
  </si>
  <si>
    <t>Power Stocks Shorts 2</t>
  </si>
  <si>
    <t>High growth, undervalued stocks (Republic day special)</t>
  </si>
  <si>
    <t>Budget Shorts</t>
  </si>
  <si>
    <t>Budget Day</t>
  </si>
  <si>
    <t>Shoot - 2nd Feb</t>
  </si>
  <si>
    <t>NFO Shorts</t>
  </si>
  <si>
    <t>India US Trade Deal</t>
  </si>
  <si>
    <t>Auto Stocks</t>
  </si>
  <si>
    <t>Aye IPO</t>
  </si>
  <si>
    <t>Fractal Analytics IPO</t>
  </si>
  <si>
    <t>Auto stocks shorts 1</t>
  </si>
  <si>
    <t>Auto stocks shorts 2</t>
  </si>
  <si>
    <t>Wed</t>
  </si>
  <si>
    <t>Silver as currency hedge</t>
  </si>
  <si>
    <t>SB - 11th Feb</t>
  </si>
  <si>
    <t>Hospital Stocks</t>
  </si>
  <si>
    <t>Hospital Stocks Shorts 1</t>
  </si>
  <si>
    <t>Hospital Stocks Shorts 2</t>
  </si>
  <si>
    <t>Banking Stocks</t>
  </si>
  <si>
    <t>Storyboarding</t>
  </si>
  <si>
    <t>Banking Stocks Shorts 1</t>
  </si>
  <si>
    <t>Banking Stocks Shorts 2</t>
  </si>
  <si>
    <t>IPO Shorts - Clean max</t>
  </si>
  <si>
    <t>IPO Shorts - Reva</t>
  </si>
  <si>
    <t>IPO - Omnitech</t>
  </si>
  <si>
    <t>AI - trend</t>
  </si>
  <si>
    <t>Raghav</t>
  </si>
  <si>
    <t>Trending - Solar Crash</t>
  </si>
  <si>
    <t>Cement Stocks</t>
  </si>
  <si>
    <t>Shoot - 9feb</t>
  </si>
  <si>
    <t>AYNTK</t>
  </si>
  <si>
    <t>Alcohol stocks shorts 1</t>
  </si>
  <si>
    <t xml:space="preserve">NFO </t>
  </si>
  <si>
    <t>Alcohol Stocks</t>
  </si>
  <si>
    <t>Shoot - 9th Feb</t>
  </si>
  <si>
    <t>Banking shorts 2</t>
  </si>
  <si>
    <t xml:space="preserve">IPO </t>
  </si>
  <si>
    <t>Textile Stocks</t>
  </si>
  <si>
    <t>Avg. views</t>
  </si>
  <si>
    <t>LPG Shorts</t>
  </si>
  <si>
    <t>Alcohol stocks shorts 2</t>
  </si>
  <si>
    <t xml:space="preserve">Product video </t>
  </si>
  <si>
    <t xml:space="preserve">AYNTK/Hospital </t>
  </si>
  <si>
    <t>evening</t>
  </si>
  <si>
    <t>IT Stocks</t>
  </si>
  <si>
    <t>morning</t>
  </si>
  <si>
    <t xml:space="preserve">Cement shorts 1/textile </t>
  </si>
  <si>
    <t>Textile shorts 1</t>
  </si>
  <si>
    <t xml:space="preserve">InviTs </t>
  </si>
  <si>
    <t xml:space="preserve">War Impact </t>
  </si>
  <si>
    <t>ABC Teaser</t>
  </si>
  <si>
    <t>IT Shorts 1</t>
  </si>
  <si>
    <t>Textile shorts 2</t>
  </si>
  <si>
    <t>Solar Stocks</t>
  </si>
  <si>
    <t>Shoot - 24th Feb</t>
  </si>
  <si>
    <t>Total</t>
  </si>
  <si>
    <t>Solar Shorts 1</t>
  </si>
  <si>
    <t>Solar Shorts 2</t>
  </si>
  <si>
    <t>Sum of all Categ</t>
  </si>
  <si>
    <t>FMCG Stocks</t>
  </si>
  <si>
    <t>IPO</t>
  </si>
  <si>
    <t>HDFC - Trending</t>
  </si>
  <si>
    <t>War Impact - Part 2</t>
  </si>
  <si>
    <t>Market crash</t>
  </si>
  <si>
    <t>AYNTK - LF</t>
  </si>
  <si>
    <t>IPO - Powerica</t>
  </si>
  <si>
    <t>Product- Margin trading</t>
  </si>
  <si>
    <t>Trending- gold prices</t>
  </si>
  <si>
    <t>Trending- why is Indian SM reacting to the war?</t>
  </si>
  <si>
    <t>How Titan became a giant?</t>
  </si>
  <si>
    <t xml:space="preserve">Ozempic </t>
  </si>
  <si>
    <t>MTF - Prod video</t>
  </si>
  <si>
    <t>Brand film</t>
  </si>
  <si>
    <t>AYNTK- Royal enfield</t>
  </si>
  <si>
    <t>2 Non social slots</t>
  </si>
  <si>
    <t>Any pending shorts?</t>
  </si>
  <si>
    <t>Wire &amp; Cable Stocks</t>
  </si>
  <si>
    <t>25th March- shoot</t>
  </si>
  <si>
    <t xml:space="preserve">GLP -1 </t>
  </si>
  <si>
    <t>Coal India Story</t>
  </si>
  <si>
    <t>to be shot - Wed.</t>
  </si>
  <si>
    <t>Coal india - story</t>
  </si>
  <si>
    <t>@raghav</t>
  </si>
  <si>
    <t>what's up with energy stocks</t>
  </si>
  <si>
    <t>power stocks - from oil &amp; gas angle</t>
  </si>
  <si>
    <t xml:space="preserve">HDFC - 19th </t>
  </si>
  <si>
    <t>FMCG Shorts 1</t>
  </si>
  <si>
    <t>Indices comparison -- global</t>
  </si>
  <si>
    <t>shorts + static</t>
  </si>
  <si>
    <t>FMCG Shorts 2</t>
  </si>
  <si>
    <t>2 IPOs</t>
  </si>
  <si>
    <r>
      <rPr>
        <rFont val="Arial"/>
        <color theme="1"/>
      </rPr>
      <t xml:space="preserve">Sachee Trivedi - </t>
    </r>
    <r>
      <rPr>
        <rFont val="Arial"/>
        <i/>
        <color theme="1"/>
      </rPr>
      <t>(moneycontrol)</t>
    </r>
  </si>
  <si>
    <t>IT Shorts 2</t>
  </si>
  <si>
    <t>IT &amp; AI commentary</t>
  </si>
  <si>
    <t>Stock market crash - how much money are investors losing</t>
  </si>
  <si>
    <t>Investing like Stalwart - Nalanda</t>
  </si>
  <si>
    <t xml:space="preserve">Trying something unique on Main - We need to build another IP </t>
  </si>
  <si>
    <t>SIP</t>
  </si>
  <si>
    <t xml:space="preserve">ETFs </t>
  </si>
  <si>
    <t>FD vs Arbitrage</t>
  </si>
  <si>
    <t>Parag Parikh</t>
  </si>
  <si>
    <t>Shipbuilding</t>
  </si>
  <si>
    <t xml:space="preserve">ETF Craze </t>
  </si>
  <si>
    <t xml:space="preserve">iNAV </t>
  </si>
  <si>
    <t>Data centres</t>
  </si>
  <si>
    <t>Why REITs &amp; InvITs Are Exploding in India</t>
  </si>
  <si>
    <t>https://docs.google.com/document/d/1CbEUXbmdehVWln5320unAJgxbFL68hrksLaQThxj6fQ/edit?tab=t.88fe7l607bpa</t>
  </si>
  <si>
    <t>Checklist for InvITs</t>
  </si>
  <si>
    <t>9 Stocks that FIIs &amp; DIIs are buying in India right now</t>
  </si>
  <si>
    <t>https://docs.google.com/document/d/1CbEUXbmdehVWln5320unAJgxbFL68hrksLaQThxj6fQ/edit?tab=t.146rj0ckpmuw</t>
  </si>
  <si>
    <t>5 Undervalued Indian Stocks in 2026</t>
  </si>
  <si>
    <t>https://docs.google.com/document/d/1CbEUXbmdehVWln5320unAJgxbFL68hrksLaQThxj6fQ/edit?tab=t.ud32fr920vjl</t>
  </si>
  <si>
    <t xml:space="preserve">Product Video </t>
  </si>
  <si>
    <t>Why MRF is India's Most Expensive Stock</t>
  </si>
  <si>
    <t>https://docs.google.com/document/d/1CbEUXbmdehVWln5320unAJgxbFL68hrksLaQThxj6fQ/edit?tab=t.jm2qlau6oihv</t>
  </si>
  <si>
    <t>MRF Short 1</t>
  </si>
  <si>
    <t>MRF Short 2</t>
  </si>
  <si>
    <t>We tested Multi-Asset Funds for 2026</t>
  </si>
  <si>
    <t>https://docs.google.com/document/d/1CbEUXbmdehVWln5320unAJgxbFL68hrksLaQThxj6fQ/edit?tab=t.5zg7dq41hav8</t>
  </si>
  <si>
    <t>Milti-Asset Short 1</t>
  </si>
  <si>
    <t>https://docs.google.com/document/d/1CbEUXbmdehVWln5320unAJgxbFL68hrksLaQThxj6fQ/edit?usp=sharing</t>
  </si>
  <si>
    <t>What's up with banking stocks 2026</t>
  </si>
  <si>
    <t>https://docs.google.com/document/d/1FKa0wtZRqfwQl3olJA2e3-ityjVXzzl-mDqH-YuieMA/edit?usp=sharing</t>
  </si>
  <si>
    <t>Short 1</t>
  </si>
  <si>
    <t>Short 2</t>
  </si>
  <si>
    <t>Are Hospital Stocks the Next Multibagger?</t>
  </si>
  <si>
    <t>We Tested Retirement Investing for 25 Years</t>
  </si>
  <si>
    <t>How to Invest Lumpsum? ₹50 Lakh Real Case Study</t>
  </si>
  <si>
    <t>Does Timing Matter in Investment?</t>
  </si>
  <si>
    <t>Competitor analysis</t>
  </si>
  <si>
    <t>Channels</t>
  </si>
  <si>
    <t>Subscribers</t>
  </si>
  <si>
    <t>Freq. of LF</t>
  </si>
  <si>
    <t>Freq. of SF</t>
  </si>
  <si>
    <t>Median views LF</t>
  </si>
  <si>
    <t>Median views SF</t>
  </si>
  <si>
    <t xml:space="preserve">Outlier topics </t>
  </si>
  <si>
    <t>Long vs Shorts View%</t>
  </si>
  <si>
    <t>https://www.youtube.com/@torahulj/</t>
  </si>
  <si>
    <t>https://www.youtube.com/@namaskarprasad/</t>
  </si>
  <si>
    <t>2.65M</t>
  </si>
  <si>
    <t xml:space="preserve">NOVEMBER </t>
  </si>
  <si>
    <t>Month</t>
  </si>
  <si>
    <t>Supply</t>
  </si>
  <si>
    <t>Dec</t>
  </si>
  <si>
    <t>Nov</t>
  </si>
  <si>
    <t>Grand Total</t>
  </si>
  <si>
    <t>Content type</t>
  </si>
  <si>
    <t>Videos published</t>
  </si>
  <si>
    <t>Likes</t>
  </si>
  <si>
    <t>Shares</t>
  </si>
  <si>
    <t>Comments added</t>
  </si>
  <si>
    <t>Average percentage viewed (%)</t>
  </si>
  <si>
    <t>Views</t>
  </si>
  <si>
    <t>COUNTA of Content type</t>
  </si>
  <si>
    <t>Videos</t>
  </si>
  <si>
    <t>Other</t>
  </si>
  <si>
    <t/>
  </si>
  <si>
    <t>Video title</t>
  </si>
  <si>
    <t>Video publish time</t>
  </si>
  <si>
    <t>Duration</t>
  </si>
  <si>
    <t>Watch time (hours)</t>
  </si>
  <si>
    <t>Impressions</t>
  </si>
  <si>
    <t>Impressions click-through rate (%)</t>
  </si>
  <si>
    <t>December</t>
  </si>
  <si>
    <t>February</t>
  </si>
  <si>
    <t>January</t>
  </si>
  <si>
    <t>November</t>
  </si>
  <si>
    <t>Don’t miss these 2 sectors before they explode in India!</t>
  </si>
  <si>
    <t>Nov 6, 2025</t>
  </si>
  <si>
    <t>SUM of Impressions</t>
  </si>
  <si>
    <t>Why Investors pay 100x for Dmart… but only 7x for Coal India| Reality of PE Ratio</t>
  </si>
  <si>
    <t>Nov 14, 2025</t>
  </si>
  <si>
    <t>The ROCE Mistake Every Investor Makes</t>
  </si>
  <si>
    <t>Nov 20, 2025</t>
  </si>
  <si>
    <t>What should Indian investors do? - Is the market overvalued?</t>
  </si>
  <si>
    <t>Nov 28, 2025</t>
  </si>
  <si>
    <t>Don’t buy gold without watching this (Smart Investor Guide)</t>
  </si>
  <si>
    <t>Nov 1, 2025</t>
  </si>
  <si>
    <t>46 IPOs. ₹90,000 Crore Raised. Here’s the TRUTH nobody’s telling You.</t>
  </si>
  <si>
    <t>Nov 24, 2025</t>
  </si>
  <si>
    <t>P/E Ratio explained in 80 seconds (simplest way ever!)</t>
  </si>
  <si>
    <t>Nov 18, 2025</t>
  </si>
  <si>
    <t>Stop misreading PE ratio!</t>
  </si>
  <si>
    <t>Nov 17, 2025</t>
  </si>
  <si>
    <t>How IPOs trick investors: The exit game explained</t>
  </si>
  <si>
    <t>Nov 26, 2025</t>
  </si>
  <si>
    <t>Why TCS earns ₹64.6 from every ₹100 | ROCE explained</t>
  </si>
  <si>
    <t>Nov 21, 2025</t>
  </si>
  <si>
    <t>Is 13% ROCE bad? Not for L&amp;T! Here’s why</t>
  </si>
  <si>
    <t>Nov 22, 2025</t>
  </si>
  <si>
    <t>These companies are changing how India builds EVERYTHING!</t>
  </si>
  <si>
    <t>Nov 10, 2025</t>
  </si>
  <si>
    <t>PE 103 vs 51.5 - The Dmart Difference #stocks #trading</t>
  </si>
  <si>
    <t>Nov 16, 2025</t>
  </si>
  <si>
    <t>India’s Next ₹50,000 Crore Boom</t>
  </si>
  <si>
    <t>Nov 9, 2025</t>
  </si>
  <si>
    <t>Why are Indians paying 3× more for the SAME companies?</t>
  </si>
  <si>
    <t>Nov 29, 2025</t>
  </si>
  <si>
    <t>4 steps to spot a good IPO (Don’t get trapped!)</t>
  </si>
  <si>
    <t>Nov 27, 2025</t>
  </si>
  <si>
    <t>Stocks or Gold - Which actually made more money?</t>
  </si>
  <si>
    <t>Nov 7, 2025</t>
  </si>
  <si>
    <t>Why Governments are quietly hoarding gold again?</t>
  </si>
  <si>
    <t>Nov 4, 2025</t>
  </si>
  <si>
    <t>2 Hidden Sectors to watch in 2026 | Emerging Themes Part 2</t>
  </si>
  <si>
    <t>Dec 3, 2025</t>
  </si>
  <si>
    <t>How to pick the right stocks - 4 Step framework</t>
  </si>
  <si>
    <t>Dec 9, 2025</t>
  </si>
  <si>
    <t>Top 3 Sectors to watch in 2026 (Where are the Big Opportunities?)</t>
  </si>
  <si>
    <t>Dec 21, 2025</t>
  </si>
  <si>
    <t>3 ETFs for your 2026 Portfolio</t>
  </si>
  <si>
    <t>Dec 27, 2025</t>
  </si>
  <si>
    <t>Why these 5 Stocks gave 100% returns?</t>
  </si>
  <si>
    <t>Dec 20, 2025</t>
  </si>
  <si>
    <t>Big Bazaar &amp; Alok Industries - One ratio that could've saved you!</t>
  </si>
  <si>
    <t>Dec 14, 2025</t>
  </si>
  <si>
    <t>Tata Motors vs Asian Paints vs Vodafone: What ROE really reveals!</t>
  </si>
  <si>
    <t>Dec 17, 2025</t>
  </si>
  <si>
    <t>How to pick the right stocks! Use this simple filter.</t>
  </si>
  <si>
    <t>Dec 13, 2025</t>
  </si>
  <si>
    <t>Highest gainer of 2025 but nobody noticed it! 😯</t>
  </si>
  <si>
    <t>Dec 23, 2025</t>
  </si>
  <si>
    <t>The 5-Second test that exposes weak companies (Most investors ignore this!)</t>
  </si>
  <si>
    <t>82% returns from a 150-year-old company? 👀</t>
  </si>
  <si>
    <t>Dec 25, 2025</t>
  </si>
  <si>
    <t>Company A vs B - ROE Trap Explained!</t>
  </si>
  <si>
    <t>Dec 19, 2025</t>
  </si>
  <si>
    <t>ONE Ratio to check before you buy any stock!</t>
  </si>
  <si>
    <t>Dec 15, 2025</t>
  </si>
  <si>
    <t>ICICI Pru AMC IPO: The company that manages ₹10 LAKH Crore!</t>
  </si>
  <si>
    <t>Dec 12, 2025</t>
  </si>
  <si>
    <t>India's next big investment opportunity</t>
  </si>
  <si>
    <t>Dec 8, 2025</t>
  </si>
  <si>
    <t>ICICI Prudential AMC - India’s Fastest-Growing AMC?</t>
  </si>
  <si>
    <t>India’s next $197 Billion opportunity</t>
  </si>
  <si>
    <t>Dec 7, 2025</t>
  </si>
  <si>
    <t>Investing in US Stocks? - Watch this first!!</t>
  </si>
  <si>
    <t>Dec 30, 2025</t>
  </si>
  <si>
    <t>The REAL reason India looks Expensive</t>
  </si>
  <si>
    <t>Dec 1, 2025</t>
  </si>
  <si>
    <t>6 shocking numbers for Indian investors💰</t>
  </si>
  <si>
    <t>Dec 28, 2025</t>
  </si>
  <si>
    <t>DMart vs Big Bazaar: The ONE Ratio that decided everything</t>
  </si>
  <si>
    <t>Dec 16, 2025</t>
  </si>
  <si>
    <t>Midcap 150 ETF- Why we chose this?</t>
  </si>
  <si>
    <t>Dec 31, 2025</t>
  </si>
  <si>
    <t>Part 2 is here and it's bigger #emerging #trending</t>
  </si>
  <si>
    <t>Dec 6, 2025</t>
  </si>
  <si>
    <t>Where to INVEST in 2026? - Gold vs Silver vs Stocks vs Bonds</t>
  </si>
  <si>
    <t>Jan 3, 2026</t>
  </si>
  <si>
    <t>9 Stocks that FIIs &amp; DIIs are buying in India right now | Institutional investing</t>
  </si>
  <si>
    <t>Jan 18, 2026</t>
  </si>
  <si>
    <t>5 Evergreen Stocks to invest &amp; forget | India’s hidden compounders</t>
  </si>
  <si>
    <t>Jan 28, 2026</t>
  </si>
  <si>
    <t>5 Undervalued High-Growth Indian Stocks | India's Hidden Gems 🇮🇳</t>
  </si>
  <si>
    <t>Jan 25, 2026</t>
  </si>
  <si>
    <t>Missed the Gold-Silver rally? But is it just the start?</t>
  </si>
  <si>
    <t>Jan 21, 2026</t>
  </si>
  <si>
    <t>4 Sectors to look at - Watch this before Budget 2026</t>
  </si>
  <si>
    <t>Jan 23, 2026</t>
  </si>
  <si>
    <t>ITC fell 15%: What should investors do? | Tobacco Stocks Crash</t>
  </si>
  <si>
    <t>Jan 10, 2026</t>
  </si>
  <si>
    <t>Stocks that win from India-EU Trade Deal!</t>
  </si>
  <si>
    <t>Jan 31, 2026</t>
  </si>
  <si>
    <t>You are missing this Global ETF! 🤷‍♀️</t>
  </si>
  <si>
    <t>Jan 2, 2026</t>
  </si>
  <si>
    <t>Gold or Silver - This ratio will answer!</t>
  </si>
  <si>
    <t>Jan 22, 2026</t>
  </si>
  <si>
    <t>ITC fell 15% in 2017 but then it doubled. Will history repeat?</t>
  </si>
  <si>
    <t>Jan 14, 2026</t>
  </si>
  <si>
    <t>Defence stocks for Budget 2026</t>
  </si>
  <si>
    <t>Jan 27, 2026</t>
  </si>
  <si>
    <t>Use this filter to find EVERGREEN Stocks!📈</t>
  </si>
  <si>
    <t>Jan 29, 2026</t>
  </si>
  <si>
    <t>Gold vs Silver vs Stocks vs Debt - Who is winning in 2026?</t>
  </si>
  <si>
    <t>Jan 7, 2026</t>
  </si>
  <si>
    <t>How did the markets react to Budget 2025?</t>
  </si>
  <si>
    <t>Jan 26, 2026</t>
  </si>
  <si>
    <t>DIIs &amp; FIIs Explained! Why Institutional Investing matters to us?</t>
  </si>
  <si>
    <t>Jan 20, 2026</t>
  </si>
  <si>
    <t>ITC vs GST 2026: Why ₹70,000 Crore vanished in 2 days</t>
  </si>
  <si>
    <t>Jan 13, 2026</t>
  </si>
  <si>
    <t>Right time to invest in Silver?</t>
  </si>
  <si>
    <t>Jan 6, 2026</t>
  </si>
  <si>
    <t>Silver: best performing asset of 2025. But what about 2026?</t>
  </si>
  <si>
    <t>Jan 5, 2026</t>
  </si>
  <si>
    <t>5 Undervalued &amp; Hidden Stocks that no one is talking about!</t>
  </si>
  <si>
    <t>Feb 19, 2026</t>
  </si>
  <si>
    <t>5 Large cap stocks to watch in 2026 | Long-Term Winners?</t>
  </si>
  <si>
    <t>Feb 12, 2026</t>
  </si>
  <si>
    <t>50 Stocks that can benefit from Budget 2026</t>
  </si>
  <si>
    <t>Feb 3, 2026</t>
  </si>
  <si>
    <t>PEG Ratio: The smarter way to value stocks</t>
  </si>
  <si>
    <t>Feb 4, 2026</t>
  </si>
  <si>
    <t>3 Metal Stocks quietly winning from the Copper, Silver &amp; Aluminium Rally 🤫</t>
  </si>
  <si>
    <t>Feb 22, 2026</t>
  </si>
  <si>
    <t>Invest in highways &amp; office buildings with REITs &amp; InvITs</t>
  </si>
  <si>
    <t>Feb 17, 2026</t>
  </si>
  <si>
    <t>Your returns depend on this- ETF vs Mutual Funds</t>
  </si>
  <si>
    <t>Feb 7, 2026</t>
  </si>
  <si>
    <t>How to find top large cap stocks?</t>
  </si>
  <si>
    <t>Feb 5, 2026</t>
  </si>
  <si>
    <t>How to find undervalued stocks?</t>
  </si>
  <si>
    <t>Feb 21, 2026</t>
  </si>
  <si>
    <t>Eicher Motors- Why it dominates India’s Premium Bikes</t>
  </si>
  <si>
    <t>Feb 15, 2026</t>
  </si>
  <si>
    <t>Varun Beverages - Company that earns every time you drink a Pepsi!</t>
  </si>
  <si>
    <t>Feb 2, 2026</t>
  </si>
  <si>
    <t>₹100 in ETF vs Mutual Fund- Result will surprise you 😱</t>
  </si>
  <si>
    <t>Feb 9, 2026</t>
  </si>
  <si>
    <t>Why ETFs and Mutual Funds give different returns?</t>
  </si>
  <si>
    <t>Feb 10, 2026</t>
  </si>
  <si>
    <t>Channel Name</t>
  </si>
  <si>
    <t>Month Target</t>
  </si>
  <si>
    <t>Current Views</t>
  </si>
  <si>
    <t>Days Left</t>
  </si>
  <si>
    <t>LF Target</t>
  </si>
  <si>
    <t>LF Published</t>
  </si>
  <si>
    <t>LF Remaining</t>
  </si>
  <si>
    <t>SF Target</t>
  </si>
  <si>
    <t>SF Published</t>
  </si>
  <si>
    <t>SF Remaining</t>
  </si>
  <si>
    <t>Total LF Views (last 30 days)</t>
  </si>
  <si>
    <t>Total SF Views (last 30 days)</t>
  </si>
  <si>
    <t>LF Videos (last 30 days)</t>
  </si>
  <si>
    <t>SF Videos (last 30 days)</t>
  </si>
  <si>
    <t xml:space="preserve">Rolling Avg per LF </t>
  </si>
  <si>
    <t>Rolling Avg per SF</t>
  </si>
  <si>
    <t>Historical LF Contribution %</t>
  </si>
  <si>
    <t>Historical SF Contribution %</t>
  </si>
  <si>
    <t>Angel One for Investors</t>
  </si>
  <si>
    <t>Angel One Main</t>
  </si>
  <si>
    <t>Angel One for 
Investors</t>
  </si>
  <si>
    <t>Target Views</t>
  </si>
  <si>
    <t>Views Shortfall</t>
  </si>
  <si>
    <t>Days remaining</t>
  </si>
  <si>
    <t>Content Type needed</t>
  </si>
  <si>
    <t>Target</t>
  </si>
  <si>
    <t>Remaining</t>
  </si>
  <si>
    <t>Long form</t>
  </si>
  <si>
    <t>Projected Views (current average)</t>
  </si>
  <si>
    <t>Projected Shortfall</t>
  </si>
  <si>
    <t>Shortfall aligned to LF</t>
  </si>
  <si>
    <t>Shortfall aligned to SF</t>
  </si>
  <si>
    <t>Average views needed per LF to close gap</t>
  </si>
  <si>
    <t>Avg Views Needed per SF to close gap</t>
  </si>
  <si>
    <t>% of target achieved</t>
  </si>
  <si>
    <t>Total channel views (last 30 days)</t>
  </si>
  <si>
    <t>Views from published videos this month</t>
  </si>
  <si>
    <t>Residual views (old content)</t>
  </si>
  <si>
    <t>LF Videos published this month</t>
  </si>
  <si>
    <t>SF Videos published this month</t>
  </si>
  <si>
    <t>LF views this month (new videos only)</t>
  </si>
  <si>
    <t>SF views this month (new videos only)</t>
  </si>
  <si>
    <t xml:space="preserve">30-day rolling LF avg - new videos only </t>
  </si>
  <si>
    <t xml:space="preserve">30-day rolling SF avg - new videos only </t>
  </si>
  <si>
    <t>Realised Projected Total Views (current average)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</si>
</sst>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"/>
    <numFmt numFmtId="165" formatCode="d mmmm"/>
    <numFmt numFmtId="166" formatCode="h:mm am/pm"/>
    <numFmt numFmtId="167" formatCode="dmmmm"/>
  </numFmts>
  <fonts count="21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u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21.0"/>
      <color rgb="FF0D0D0D"/>
      <name val="Roboto"/>
    </font>
    <font>
      <b/>
      <sz val="11.0"/>
      <color theme="1"/>
      <name val="Arial"/>
    </font>
    <font>
      <color theme="1"/>
      <name val="Arial"/>
    </font>
    <font>
      <strike/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1D1C1D"/>
      <name val="Arial"/>
    </font>
    <font>
      <u/>
      <sz val="12.0"/>
      <color rgb="FF000000"/>
      <name val="Times"/>
    </font>
    <font>
      <sz val="12.0"/>
      <color rgb="FF000000"/>
      <name val="Times"/>
    </font>
    <font>
      <u/>
      <sz val="10.0"/>
      <color rgb="FF0000FF"/>
      <name val="Arial"/>
    </font>
    <font>
      <u/>
      <color rgb="FF0000FF"/>
    </font>
    <font>
      <u/>
      <color rgb="FF0000FF"/>
    </font>
    <font>
      <b/>
      <sz val="13.0"/>
      <color theme="1"/>
      <name val="Arial"/>
      <scheme val="minor"/>
    </font>
    <font>
      <b/>
      <color theme="1"/>
      <name val="Arial"/>
    </font>
    <font>
      <b/>
      <sz val="21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8F8F8"/>
        <bgColor rgb="FFF8F8F8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3" fontId="2" numFmtId="0" xfId="0" applyAlignment="1" applyFill="1" applyFont="1">
      <alignment readingOrder="0"/>
    </xf>
    <xf borderId="0" fillId="0" fontId="2" numFmtId="164" xfId="0" applyAlignment="1" applyFont="1" applyNumberForma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1"/>
    </xf>
    <xf borderId="0" fillId="5" fontId="4" numFmtId="164" xfId="0" applyAlignment="1" applyFill="1" applyFont="1" applyNumberFormat="1">
      <alignment shrinkToFit="0" vertical="center" wrapText="0"/>
    </xf>
    <xf borderId="0" fillId="5" fontId="4" numFmtId="0" xfId="0" applyAlignment="1" applyFont="1">
      <alignment shrinkToFit="0" vertical="center" wrapText="1"/>
    </xf>
    <xf borderId="0" fillId="5" fontId="4" numFmtId="0" xfId="0" applyAlignment="1" applyFont="1">
      <alignment readingOrder="0" shrinkToFit="0" vertical="center" wrapText="0"/>
    </xf>
    <xf borderId="0" fillId="5" fontId="4" numFmtId="0" xfId="0" applyAlignment="1" applyFont="1">
      <alignment shrinkToFit="0" vertical="center" wrapText="0"/>
    </xf>
    <xf borderId="0" fillId="5" fontId="4" numFmtId="0" xfId="0" applyAlignment="1" applyFont="1">
      <alignment shrinkToFit="0" vertical="center" wrapText="0"/>
    </xf>
    <xf borderId="0" fillId="6" fontId="2" numFmtId="164" xfId="0" applyAlignment="1" applyFill="1" applyFont="1" applyNumberFormat="1">
      <alignment readingOrder="0" shrinkToFit="0" vertical="center" wrapText="0"/>
    </xf>
    <xf borderId="0" fillId="6" fontId="1" numFmtId="0" xfId="0" applyAlignment="1" applyFont="1">
      <alignment readingOrder="0" shrinkToFit="0" vertical="center" wrapText="1"/>
    </xf>
    <xf borderId="0" fillId="6" fontId="2" numFmtId="0" xfId="0" applyAlignment="1" applyFont="1">
      <alignment readingOrder="0" shrinkToFit="0" vertical="center" wrapText="1"/>
    </xf>
    <xf borderId="0" fillId="6" fontId="2" numFmtId="0" xfId="0" applyAlignment="1" applyFont="1">
      <alignment readingOrder="0" shrinkToFit="0" vertical="center" wrapText="0"/>
    </xf>
    <xf borderId="0" fillId="6" fontId="2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6" fontId="2" numFmtId="0" xfId="0" applyAlignment="1" applyFont="1">
      <alignment readingOrder="0" shrinkToFit="0" vertical="center" wrapText="0"/>
    </xf>
    <xf borderId="0" fillId="7" fontId="4" numFmtId="0" xfId="0" applyAlignment="1" applyFill="1" applyFont="1">
      <alignment shrinkToFit="0" vertical="center" wrapText="1"/>
    </xf>
    <xf borderId="0" fillId="7" fontId="2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4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8" fontId="6" numFmtId="3" xfId="0" applyAlignment="1" applyFill="1" applyFont="1" applyNumberFormat="1">
      <alignment horizontal="center" readingOrder="0" shrinkToFit="0" wrapText="0"/>
    </xf>
    <xf borderId="0" fillId="0" fontId="4" numFmtId="3" xfId="0" applyFont="1" applyNumberFormat="1"/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6" fontId="1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9" fontId="7" numFmtId="0" xfId="0" applyAlignment="1" applyFill="1" applyFont="1">
      <alignment horizontal="center"/>
    </xf>
    <xf borderId="0" fillId="0" fontId="8" numFmtId="0" xfId="0" applyAlignment="1" applyFont="1">
      <alignment vertical="bottom"/>
    </xf>
    <xf borderId="1" fillId="0" fontId="8" numFmtId="165" xfId="0" applyAlignment="1" applyBorder="1" applyFont="1" applyNumberFormat="1">
      <alignment horizontal="center" vertical="bottom"/>
    </xf>
    <xf borderId="2" fillId="0" fontId="8" numFmtId="0" xfId="0" applyAlignment="1" applyBorder="1" applyFont="1">
      <alignment vertical="bottom"/>
    </xf>
    <xf borderId="3" fillId="0" fontId="8" numFmtId="0" xfId="0" applyAlignment="1" applyBorder="1" applyFont="1">
      <alignment vertical="bottom"/>
    </xf>
    <xf borderId="4" fillId="0" fontId="8" numFmtId="165" xfId="0" applyAlignment="1" applyBorder="1" applyFont="1" applyNumberFormat="1">
      <alignment horizontal="center" vertical="bottom"/>
    </xf>
    <xf borderId="5" fillId="0" fontId="8" numFmtId="0" xfId="0" applyAlignment="1" applyBorder="1" applyFont="1">
      <alignment vertical="bottom"/>
    </xf>
    <xf borderId="6" fillId="2" fontId="8" numFmtId="165" xfId="0" applyAlignment="1" applyBorder="1" applyFont="1" applyNumberFormat="1">
      <alignment horizontal="center" vertical="bottom"/>
    </xf>
    <xf borderId="7" fillId="2" fontId="8" numFmtId="0" xfId="0" applyAlignment="1" applyBorder="1" applyFont="1">
      <alignment vertical="bottom"/>
    </xf>
    <xf borderId="7" fillId="0" fontId="8" numFmtId="0" xfId="0" applyAlignment="1" applyBorder="1" applyFont="1">
      <alignment vertical="bottom"/>
    </xf>
    <xf borderId="8" fillId="0" fontId="8" numFmtId="0" xfId="0" applyAlignment="1" applyBorder="1" applyFont="1">
      <alignment vertical="bottom"/>
    </xf>
    <xf borderId="0" fillId="0" fontId="8" numFmtId="165" xfId="0" applyAlignment="1" applyFont="1" applyNumberFormat="1">
      <alignment horizontal="center" vertical="bottom"/>
    </xf>
    <xf borderId="0" fillId="0" fontId="8" numFmtId="165" xfId="0" applyAlignment="1" applyFont="1" applyNumberFormat="1">
      <alignment vertical="bottom"/>
    </xf>
    <xf borderId="0" fillId="0" fontId="2" numFmtId="164" xfId="0" applyAlignment="1" applyFont="1" applyNumberForma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6" fontId="2" numFmtId="164" xfId="0" applyAlignment="1" applyFont="1" applyNumberFormat="1">
      <alignment horizontal="left" readingOrder="0"/>
    </xf>
    <xf borderId="0" fillId="6" fontId="2" numFmtId="0" xfId="0" applyAlignment="1" applyFont="1">
      <alignment readingOrder="0"/>
    </xf>
    <xf borderId="0" fillId="6" fontId="2" numFmtId="0" xfId="0" applyAlignment="1" applyFont="1">
      <alignment readingOrder="0"/>
    </xf>
    <xf borderId="0" fillId="6" fontId="4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6" fontId="4" numFmtId="0" xfId="0" applyAlignment="1" applyFont="1">
      <alignment readingOrder="0"/>
    </xf>
    <xf borderId="0" fillId="0" fontId="4" numFmtId="166" xfId="0" applyAlignment="1" applyFont="1" applyNumberForma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167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10" fontId="4" numFmtId="0" xfId="0" applyAlignment="1" applyFill="1" applyFont="1">
      <alignment readingOrder="0"/>
    </xf>
    <xf borderId="9" fillId="0" fontId="4" numFmtId="0" xfId="0" applyAlignment="1" applyBorder="1" applyFont="1">
      <alignment readingOrder="0"/>
    </xf>
    <xf borderId="0" fillId="0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0" fontId="10" numFmtId="164" xfId="0" applyAlignment="1" applyFont="1" applyNumberFormat="1">
      <alignment horizontal="left"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1" numFmtId="0" xfId="0" applyAlignment="1" applyFont="1">
      <alignment shrinkToFit="0" vertical="center" wrapText="0"/>
    </xf>
    <xf borderId="0" fillId="0" fontId="11" numFmtId="0" xfId="0" applyAlignment="1" applyFont="1">
      <alignment shrinkToFit="0" vertical="center" wrapText="0"/>
    </xf>
    <xf borderId="0" fillId="0" fontId="4" numFmtId="0" xfId="0" applyAlignment="1" applyFont="1">
      <alignment readingOrder="0"/>
    </xf>
    <xf borderId="0" fillId="0" fontId="10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1" numFmtId="0" xfId="0" applyAlignment="1" applyFont="1">
      <alignment shrinkToFit="0" vertical="center" wrapText="0"/>
    </xf>
    <xf borderId="0" fillId="0" fontId="11" numFmtId="0" xfId="0" applyAlignment="1" applyFont="1">
      <alignment shrinkToFit="0" vertical="center" wrapText="0"/>
    </xf>
    <xf borderId="0" fillId="11" fontId="12" numFmtId="0" xfId="0" applyAlignment="1" applyFill="1" applyFont="1">
      <alignment horizontal="left"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10" numFmtId="0" xfId="0" applyAlignment="1" applyFont="1">
      <alignment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2" fontId="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4" numFmtId="9" xfId="0" applyAlignment="1" applyFont="1" applyNumberForma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12" fontId="5" numFmtId="0" xfId="0" applyAlignment="1" applyFill="1" applyFont="1">
      <alignment horizontal="center" readingOrder="0" shrinkToFit="0" wrapText="1"/>
    </xf>
    <xf borderId="0" fillId="12" fontId="19" numFmtId="0" xfId="0" applyAlignment="1" applyFont="1">
      <alignment shrinkToFit="0" vertical="bottom" wrapText="1"/>
    </xf>
    <xf borderId="0" fillId="12" fontId="19" numFmtId="0" xfId="0" applyAlignment="1" applyFont="1">
      <alignment readingOrder="0" shrinkToFit="0" vertical="bottom" wrapText="1"/>
    </xf>
    <xf borderId="0" fillId="0" fontId="8" numFmtId="0" xfId="0" applyAlignment="1" applyFont="1">
      <alignment shrinkToFit="0" vertical="bottom" wrapText="1"/>
    </xf>
    <xf borderId="0" fillId="0" fontId="8" numFmtId="0" xfId="0" applyAlignment="1" applyFont="1">
      <alignment readingOrder="0" shrinkToFit="0" vertical="bottom" wrapText="1"/>
    </xf>
    <xf borderId="0" fillId="0" fontId="8" numFmtId="0" xfId="0" applyAlignment="1" applyFont="1">
      <alignment horizontal="right" shrinkToFit="0" vertical="bottom" wrapText="1"/>
    </xf>
    <xf borderId="0" fillId="0" fontId="8" numFmtId="0" xfId="0" applyAlignment="1" applyFont="1">
      <alignment horizontal="right" vertical="bottom"/>
    </xf>
    <xf borderId="0" fillId="0" fontId="19" numFmtId="0" xfId="0" applyAlignment="1" applyFont="1">
      <alignment shrinkToFit="0" vertical="bottom" wrapText="1"/>
    </xf>
    <xf borderId="0" fillId="0" fontId="19" numFmtId="0" xfId="0" applyAlignment="1" applyFont="1">
      <alignment readingOrder="0" shrinkToFit="0" vertical="bottom" wrapText="1"/>
    </xf>
    <xf borderId="0" fillId="0" fontId="19" numFmtId="0" xfId="0" applyAlignment="1" applyFont="1">
      <alignment horizontal="right" shrinkToFit="0" vertical="bottom" wrapText="1"/>
    </xf>
    <xf borderId="0" fillId="0" fontId="19" numFmtId="0" xfId="0" applyAlignment="1" applyFont="1">
      <alignment horizontal="right" vertical="bottom"/>
    </xf>
    <xf borderId="0" fillId="3" fontId="8" numFmtId="0" xfId="0" applyAlignment="1" applyFont="1">
      <alignment horizontal="right" vertical="bottom"/>
    </xf>
    <xf borderId="0" fillId="13" fontId="19" numFmtId="0" xfId="0" applyAlignment="1" applyFill="1" applyFont="1">
      <alignment horizontal="center" shrinkToFit="0" vertical="bottom" wrapText="1"/>
    </xf>
    <xf borderId="0" fillId="13" fontId="19" numFmtId="0" xfId="0" applyAlignment="1" applyFont="1">
      <alignment horizontal="center" readingOrder="0" shrinkToFit="0" vertical="bottom" wrapText="1"/>
    </xf>
    <xf quotePrefix="1" borderId="0" fillId="0" fontId="8" numFmtId="0" xfId="0" applyAlignment="1" applyFont="1">
      <alignment shrinkToFit="0" vertical="bottom" wrapText="1"/>
    </xf>
    <xf quotePrefix="1"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1"/>
    </xf>
    <xf borderId="0" fillId="0" fontId="4" numFmtId="3" xfId="0" applyAlignment="1" applyFont="1" applyNumberFormat="1">
      <alignment readingOrder="0" shrinkToFit="0" wrapText="1"/>
    </xf>
    <xf borderId="0" fillId="4" fontId="20" numFmtId="3" xfId="0" applyAlignment="1" applyFont="1" applyNumberFormat="1">
      <alignment readingOrder="0" shrinkToFit="0" textRotation="0" wrapText="1"/>
    </xf>
    <xf borderId="1" fillId="10" fontId="5" numFmtId="3" xfId="0" applyAlignment="1" applyBorder="1" applyFont="1" applyNumberFormat="1">
      <alignment readingOrder="0" shrinkToFit="0" wrapText="1"/>
    </xf>
    <xf borderId="3" fillId="0" fontId="4" numFmtId="3" xfId="0" applyBorder="1" applyFont="1" applyNumberFormat="1"/>
    <xf borderId="4" fillId="10" fontId="5" numFmtId="3" xfId="0" applyAlignment="1" applyBorder="1" applyFont="1" applyNumberFormat="1">
      <alignment readingOrder="0" shrinkToFit="0" wrapText="1"/>
    </xf>
    <xf borderId="5" fillId="0" fontId="4" numFmtId="3" xfId="0" applyBorder="1" applyFont="1" applyNumberFormat="1"/>
    <xf borderId="6" fillId="10" fontId="5" numFmtId="3" xfId="0" applyAlignment="1" applyBorder="1" applyFont="1" applyNumberFormat="1">
      <alignment readingOrder="0" shrinkToFit="0" wrapText="1"/>
    </xf>
    <xf borderId="8" fillId="0" fontId="4" numFmtId="3" xfId="0" applyAlignment="1" applyBorder="1" applyFont="1" applyNumberFormat="1">
      <alignment readingOrder="0"/>
    </xf>
    <xf borderId="0" fillId="0" fontId="4" numFmtId="3" xfId="0" applyAlignment="1" applyFont="1" applyNumberFormat="1">
      <alignment shrinkToFit="0" wrapText="1"/>
    </xf>
    <xf borderId="2" fillId="10" fontId="5" numFmtId="3" xfId="0" applyAlignment="1" applyBorder="1" applyFont="1" applyNumberFormat="1">
      <alignment readingOrder="0"/>
    </xf>
    <xf borderId="3" fillId="10" fontId="5" numFmtId="3" xfId="0" applyAlignment="1" applyBorder="1" applyFont="1" applyNumberFormat="1">
      <alignment readingOrder="0"/>
    </xf>
    <xf borderId="0" fillId="0" fontId="5" numFmtId="3" xfId="0" applyAlignment="1" applyFont="1" applyNumberFormat="1">
      <alignment readingOrder="0"/>
    </xf>
    <xf borderId="7" fillId="0" fontId="4" numFmtId="3" xfId="0" applyBorder="1" applyFont="1" applyNumberFormat="1"/>
    <xf borderId="8" fillId="0" fontId="4" numFmtId="3" xfId="0" applyBorder="1" applyFont="1" applyNumberFormat="1"/>
    <xf borderId="5" fillId="0" fontId="4" numFmtId="3" xfId="0" applyAlignment="1" applyBorder="1" applyFont="1" applyNumberForma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A34EE4"/>
          <bgColor rgb="FFA34EE4"/>
        </patternFill>
      </fill>
      <border/>
    </dxf>
  </dxfs>
  <tableStyles count="5">
    <tableStyle count="4" pivot="0" name="Investo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one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Ma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Main-style 2">
      <tableStyleElement dxfId="3" type="firstRowStripe"/>
      <tableStyleElement dxfId="2" type="secondRowStripe"/>
    </tableStyle>
    <tableStyle count="4" pivot="0" name="Telugu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/Relationships>
</file>

<file path=xl/documenttasks/documenttask1.xml><?xml version="1.0" encoding="utf-8"?>
<Tasks xmlns="http://schemas.microsoft.com/office/tasks/2019/documenttasks">
  <Task id="{d26e6170-68a8-4824-9cd9-2bd8bd30f98f}">
    <Anchor>
      <Comment id="{0ff15ebc-cc35-4b53-8cbc-f2f7cd951c13}"/>
    </Anchor>
    <History>
      <Event time="2025-12-02T09:03:46.00" id="{3e2f3da4-c53b-446f-aeae-14cb0db2d113}">
        <Attribution userId="placeholder@email.com" userName="Aparna" userProvider="google-sheets"/>
        <Anchor>
          <Comment id="{0ff15ebc-cc35-4b53-8cbc-f2f7cd951c13}"/>
        </Anchor>
        <Create/>
      </Event>
      <Event time="2025-12-02T09:03:46.00" id="{e5964189-5f7f-450c-9326-5178dc2bfc50}">
        <Attribution userId="placeholder@email.com" userName="Aparna" userProvider="google-sheets"/>
        <Anchor>
          <Comment id="{0ff15ebc-cc35-4b53-8cbc-f2f7cd951c13}"/>
        </Anchor>
        <Assign userId="sayyedfarhan039@gmail.com" userName="sayyedfarhan039@gmail.com" userProvider="google-sheets"/>
      </Event>
    </History>
  </Task>
</Tasks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yyedfarhan039@gmail.com" id="{6e5f745a-2751-4633-a245-9a9e4715f8f7}" userId="sayyedfarhan039@gmail.com" providerId="google-sheets"/>
  <x18tc:person displayName="Aparna" id="{5392dfad-54e9-430c-9ddd-b99771afb69f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I22" sheet="Invs Supply Analytics"/>
  </cacheSource>
  <cacheFields>
    <cacheField name="Content type" numFmtId="0">
      <sharedItems containsBlank="1">
        <s v="Shorts"/>
        <s v="Videos"/>
        <s v="Other"/>
        <s v="Total"/>
        <m/>
      </sharedItems>
    </cacheField>
    <cacheField name="Month" numFmtId="0">
      <sharedItems containsBlank="1">
        <s v="Nov"/>
        <m/>
        <s v="Dec"/>
        <s v="Jan"/>
        <s v="Feb"/>
      </sharedItems>
    </cacheField>
    <cacheField name="Videos published">
      <sharedItems containsBlank="1" containsMixedTypes="1" containsNumber="1" containsInteger="1">
        <n v="12.0"/>
        <n v="5.0"/>
        <s v=""/>
        <n v="17.0"/>
        <m/>
        <n v="16.0"/>
        <n v="7.0"/>
        <n v="23.0"/>
        <n v="11.0"/>
        <n v="18.0"/>
      </sharedItems>
    </cacheField>
    <cacheField name="Likes" numFmtId="0">
      <sharedItems containsString="0" containsBlank="1" containsNumber="1" containsInteger="1">
        <n v="604.0"/>
        <n v="2689.0"/>
        <n v="0.0"/>
        <n v="3293.0"/>
        <m/>
        <n v="1453.0"/>
        <n v="2107.0"/>
        <n v="3560.0"/>
        <n v="791.0"/>
        <n v="4231.0"/>
        <n v="5022.0"/>
      </sharedItems>
    </cacheField>
    <cacheField name="Shares" numFmtId="0">
      <sharedItems containsString="0" containsBlank="1" containsNumber="1" containsInteger="1">
        <n v="58.0"/>
        <n v="1590.0"/>
        <n v="0.0"/>
        <n v="1648.0"/>
        <m/>
        <n v="147.0"/>
        <n v="1015.0"/>
        <n v="1162.0"/>
        <n v="131.0"/>
        <n v="1887.0"/>
        <n v="2018.0"/>
      </sharedItems>
    </cacheField>
    <cacheField name="Comments added" numFmtId="0">
      <sharedItems containsString="0" containsBlank="1" containsNumber="1" containsInteger="1">
        <n v="10.0"/>
        <n v="274.0"/>
        <n v="0.0"/>
        <n v="284.0"/>
        <m/>
        <n v="44.0"/>
        <n v="185.0"/>
        <n v="229.0"/>
        <n v="24.0"/>
        <n v="206.0"/>
        <n v="230.0"/>
      </sharedItems>
    </cacheField>
    <cacheField name="Average percentage viewed (%)">
      <sharedItems containsBlank="1" containsMixedTypes="1" containsNumber="1">
        <n v="54.22"/>
        <n v="32.3"/>
        <s v=""/>
        <n v="32.51"/>
        <m/>
        <n v="59.37"/>
        <n v="30.73"/>
        <n v="31.59"/>
        <n v="59.64"/>
        <n v="32.37"/>
        <n v="32.56"/>
      </sharedItems>
    </cacheField>
    <cacheField name="Subscribers" numFmtId="0">
      <sharedItems containsString="0" containsBlank="1" containsNumber="1" containsInteger="1">
        <n v="84.0"/>
        <n v="3487.0"/>
        <n v="608.0"/>
        <n v="4179.0"/>
        <m/>
        <n v="85.0"/>
        <n v="1547.0"/>
        <n v="467.0"/>
        <n v="2099.0"/>
        <n v="40.0"/>
        <n v="3384.0"/>
        <n v="696.0"/>
        <n v="4120.0"/>
      </sharedItems>
    </cacheField>
    <cacheField name="Views" numFmtId="0">
      <sharedItems containsString="0" containsBlank="1" containsNumber="1" containsInteger="1">
        <n v="15418.0"/>
        <n v="82942.0"/>
        <n v="0.0"/>
        <n v="98360.0"/>
        <m/>
        <n v="27750.0"/>
        <n v="53924.0"/>
        <n v="81674.0"/>
        <n v="17746.0"/>
        <n v="126732.0"/>
        <n v="144478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203" sheet="Analytics - Inv Dump"/>
  </cacheSource>
  <cacheFields>
    <cacheField name="Video title" numFmtId="0">
      <sharedItems containsBlank="1">
        <s v=""/>
        <s v="Don’t miss these 2 sectors before they explode in India!"/>
        <s v="Why Investors pay 100x for Dmart… but only 7x for Coal India| Reality of PE Ratio"/>
        <s v="The ROCE Mistake Every Investor Makes"/>
        <s v="What should Indian investors do? - Is the market overvalued?"/>
        <s v="Don’t buy gold without watching this (Smart Investor Guide)"/>
        <s v="46 IPOs. ₹90,000 Crore Raised. Here’s the TRUTH nobody’s telling You."/>
        <s v="P/E Ratio explained in 80 seconds (simplest way ever!)"/>
        <s v="Stop misreading PE ratio!"/>
        <s v="How IPOs trick investors: The exit game explained"/>
        <s v="Why TCS earns ₹64.6 from every ₹100 | ROCE explained"/>
        <s v="Is 13% ROCE bad? Not for L&amp;T! Here’s why"/>
        <s v="These companies are changing how India builds EVERYTHING!"/>
        <s v="PE 103 vs 51.5 - The Dmart Difference #stocks #trading"/>
        <s v="India’s Next ₹50,000 Crore Boom"/>
        <s v="Why are Indians paying 3× more for the SAME companies?"/>
        <s v="4 steps to spot a good IPO (Don’t get trapped!)"/>
        <s v="Stocks or Gold - Which actually made more money?"/>
        <s v="Why Governments are quietly hoarding gold again?"/>
        <m/>
        <s v="2 Hidden Sectors to watch in 2026 | Emerging Themes Part 2"/>
        <s v="How to pick the right stocks - 4 Step framework"/>
        <s v="Top 3 Sectors to watch in 2026 (Where are the Big Opportunities?)"/>
        <s v="3 ETFs for your 2026 Portfolio"/>
        <s v="Why these 5 Stocks gave 100% returns?"/>
        <s v="Big Bazaar &amp; Alok Industries - One ratio that could've saved you!"/>
        <s v="Tata Motors vs Asian Paints vs Vodafone: What ROE really reveals!"/>
        <s v="How to pick the right stocks! Use this simple filter."/>
        <s v="Highest gainer of 2025 but nobody noticed it! 😯"/>
        <s v="The 5-Second test that exposes weak companies (Most investors ignore this!)"/>
        <s v="82% returns from a 150-year-old company? 👀"/>
        <s v="Company A vs B - ROE Trap Explained!"/>
        <s v="ONE Ratio to check before you buy any stock!"/>
        <s v="ICICI Pru AMC IPO: The company that manages ₹10 LAKH Crore!"/>
        <s v="India's next big investment opportunity"/>
        <s v="ICICI Prudential AMC - India’s Fastest-Growing AMC?"/>
        <s v="India’s next $197 Billion opportunity"/>
        <s v="Investing in US Stocks? - Watch this first!!"/>
        <s v="The REAL reason India looks Expensive"/>
        <s v="6 shocking numbers for Indian investors💰"/>
        <s v="DMart vs Big Bazaar: The ONE Ratio that decided everything"/>
        <s v="Midcap 150 ETF- Why we chose this?"/>
        <s v="Part 2 is here and it's bigger #emerging #trending"/>
        <s v="Where to INVEST in 2026? - Gold vs Silver vs Stocks vs Bonds"/>
        <s v="9 Stocks that FIIs &amp; DIIs are buying in India right now | Institutional investing"/>
        <s v="5 Evergreen Stocks to invest &amp; forget | India’s hidden compounders"/>
        <s v="5 Undervalued High-Growth Indian Stocks | India's Hidden Gems 🇮🇳"/>
        <s v="Missed the Gold-Silver rally? But is it just the start?"/>
        <s v="4 Sectors to look at - Watch this before Budget 2026"/>
        <s v="ITC fell 15%: What should investors do? | Tobacco Stocks Crash"/>
        <s v="Stocks that win from India-EU Trade Deal!"/>
        <s v="You are missing this Global ETF! 🤷‍♀️"/>
        <s v="Gold or Silver - This ratio will answer!"/>
        <s v="ITC fell 15% in 2017 but then it doubled. Will history repeat?"/>
        <s v="Defence stocks for Budget 2026"/>
        <s v="Use this filter to find EVERGREEN Stocks!📈"/>
        <s v="Gold vs Silver vs Stocks vs Debt - Who is winning in 2026?"/>
        <s v="How did the markets react to Budget 2025?"/>
        <s v="DIIs &amp; FIIs Explained! Why Institutional Investing matters to us?"/>
        <s v="ITC vs GST 2026: Why ₹70,000 Crore vanished in 2 days"/>
        <s v="Right time to invest in Silver?"/>
        <s v="Silver: best performing asset of 2025. But what about 2026?"/>
        <s v="5 Undervalued &amp; Hidden Stocks that no one is talking about!"/>
        <s v="5 Large cap stocks to watch in 2026 | Long-Term Winners?"/>
        <s v="50 Stocks that can benefit from Budget 2026"/>
        <s v="PEG Ratio: The smarter way to value stocks"/>
        <s v="3 Metal Stocks quietly winning from the Copper, Silver &amp; Aluminium Rally 🤫"/>
        <s v="Invest in highways &amp; office buildings with REITs &amp; InvITs"/>
        <s v="Your returns depend on this- ETF vs Mutual Funds"/>
        <s v="How to find top large cap stocks?"/>
        <s v="How to find undervalued stocks?"/>
        <s v="Eicher Motors- Why it dominates India’s Premium Bikes"/>
        <s v="Varun Beverages - Company that earns every time you drink a Pepsi!"/>
        <s v="₹100 in ETF vs Mutual Fund- Result will surprise you 😱"/>
        <s v="Why ETFs and Mutual Funds give different returns?"/>
      </sharedItems>
    </cacheField>
    <cacheField name="Video publish time" numFmtId="0">
      <sharedItems containsBlank="1">
        <s v=""/>
        <s v="Nov 6, 2025"/>
        <s v="Nov 14, 2025"/>
        <s v="Nov 20, 2025"/>
        <s v="Nov 28, 2025"/>
        <s v="Nov 1, 2025"/>
        <s v="Nov 24, 2025"/>
        <s v="Nov 18, 2025"/>
        <s v="Nov 17, 2025"/>
        <s v="Nov 26, 2025"/>
        <s v="Nov 21, 2025"/>
        <s v="Nov 22, 2025"/>
        <s v="Nov 10, 2025"/>
        <s v="Nov 16, 2025"/>
        <s v="Nov 9, 2025"/>
        <s v="Nov 29, 2025"/>
        <s v="Nov 27, 2025"/>
        <s v="Nov 7, 2025"/>
        <s v="Nov 4, 2025"/>
        <m/>
        <s v="Dec 3, 2025"/>
        <s v="Dec 9, 2025"/>
        <s v="Dec 21, 2025"/>
        <s v="Dec 27, 2025"/>
        <s v="Dec 20, 2025"/>
        <s v="Dec 14, 2025"/>
        <s v="Dec 17, 2025"/>
        <s v="Dec 13, 2025"/>
        <s v="Dec 23, 2025"/>
        <s v="Dec 25, 2025"/>
        <s v="Dec 19, 2025"/>
        <s v="Dec 15, 2025"/>
        <s v="Dec 12, 2025"/>
        <s v="Dec 8, 2025"/>
        <s v="Dec 7, 2025"/>
        <s v="Dec 30, 2025"/>
        <s v="Dec 1, 2025"/>
        <s v="Dec 28, 2025"/>
        <s v="Dec 16, 2025"/>
        <s v="Dec 31, 2025"/>
        <s v="Dec 6, 2025"/>
        <s v="Jan 3, 2026"/>
        <s v="Jan 18, 2026"/>
        <s v="Jan 28, 2026"/>
        <s v="Jan 25, 2026"/>
        <s v="Jan 21, 2026"/>
        <s v="Jan 23, 2026"/>
        <s v="Jan 10, 2026"/>
        <s v="Jan 31, 2026"/>
        <s v="Jan 2, 2026"/>
        <s v="Jan 22, 2026"/>
        <s v="Jan 14, 2026"/>
        <s v="Jan 27, 2026"/>
        <s v="Jan 29, 2026"/>
        <s v="Jan 7, 2026"/>
        <s v="Jan 26, 2026"/>
        <s v="Jan 20, 2026"/>
        <s v="Jan 13, 2026"/>
        <s v="Jan 6, 2026"/>
        <s v="Jan 5, 2026"/>
        <s v="Feb 19, 2026"/>
        <s v="Feb 12, 2026"/>
        <s v="Feb 3, 2026"/>
        <s v="Feb 4, 2026"/>
        <s v="Feb 22, 2026"/>
        <s v="Feb 17, 2026"/>
        <s v="Feb 7, 2026"/>
        <s v="Feb 5, 2026"/>
        <s v="Feb 21, 2026"/>
        <s v="Feb 15, 2026"/>
        <s v="Feb 2, 2026"/>
        <s v="Feb 9, 2026"/>
        <s v="Feb 10, 2026"/>
      </sharedItems>
    </cacheField>
    <cacheField name="Month" numFmtId="0">
      <sharedItems containsBlank="1">
        <m/>
        <s v="November"/>
        <s v="December"/>
        <s v="January"/>
        <s v="February"/>
      </sharedItems>
    </cacheField>
    <cacheField name="Duration">
      <sharedItems containsBlank="1" containsMixedTypes="1" containsNumber="1" containsInteger="1">
        <s v=""/>
        <n v="623.0"/>
        <n v="503.0"/>
        <n v="351.0"/>
        <n v="530.0"/>
        <n v="582.0"/>
        <n v="915.0"/>
        <n v="93.0"/>
        <n v="80.0"/>
        <n v="81.0"/>
        <n v="61.0"/>
        <n v="51.0"/>
        <n v="55.0"/>
        <n v="64.0"/>
        <n v="58.0"/>
        <n v="86.0"/>
        <n v="66.0"/>
        <n v="76.0"/>
        <m/>
        <n v="630.0"/>
        <n v="647.0"/>
        <n v="415.0"/>
        <n v="586.0"/>
        <n v="488.0"/>
        <n v="568.0"/>
        <n v="68.0"/>
        <n v="73.0"/>
        <n v="49.0"/>
        <n v="60.0"/>
        <n v="63.0"/>
        <n v="48.0"/>
        <n v="105.0"/>
        <n v="444.0"/>
        <n v="75.0"/>
        <n v="98.0"/>
        <n v="47.0"/>
        <n v="50.0"/>
        <n v="45.0"/>
        <n v="18.0"/>
        <n v="629.0"/>
        <n v="739.0"/>
        <n v="666.0"/>
        <n v="697.0"/>
        <n v="815.0"/>
        <n v="703.0"/>
        <n v="651.0"/>
        <n v="162.0"/>
        <n v="56.0"/>
        <n v="74.0"/>
        <n v="52.0"/>
        <n v="65.0"/>
        <n v="77.0"/>
        <n v="54.0"/>
        <n v="901.0"/>
        <n v="657.0"/>
        <n v="724.0"/>
        <n v="44.0"/>
        <n v="639.0"/>
        <n v="485.0"/>
        <n v="743.0"/>
        <n v="69.0"/>
      </sharedItems>
    </cacheField>
    <cacheField name="Average percentage viewed (%)">
      <sharedItems containsBlank="1" containsMixedTypes="1" containsNumber="1">
        <n v="32.51"/>
        <n v="32.34"/>
        <n v="37.07"/>
        <n v="38.88"/>
        <n v="35.13"/>
        <n v="18.9"/>
        <n v="20.94"/>
        <n v="55.35"/>
        <n v="41.88"/>
        <n v="49.05"/>
        <n v="54.22"/>
        <n v="64.95"/>
        <n v="47.3"/>
        <n v="56.94"/>
        <n v="48.94"/>
        <n v="59.41"/>
        <n v="43.25"/>
        <n v="78.01"/>
        <n v="103.57"/>
        <m/>
        <n v="30.07"/>
        <n v="28.84"/>
        <n v="65.71"/>
        <n v="33.4"/>
        <n v="34.9"/>
        <n v="26.05"/>
        <n v="28.55"/>
        <n v="33.17"/>
        <n v="55.18"/>
        <n v="57.33"/>
        <n v="66.38"/>
        <n v="45.64"/>
        <n v="69.76"/>
        <n v="65.25"/>
        <n v="52.71"/>
        <n v="57.88"/>
        <n v="29.25"/>
        <n v="51.95"/>
        <n v="58.81"/>
        <n v="52.24"/>
        <n v="70.74"/>
        <n v="58.06"/>
        <n v="34.13"/>
        <n v="46.51"/>
        <n v="81.91"/>
        <n v="54.35"/>
        <n v="46.05"/>
        <n v="25.79"/>
        <n v="46.93"/>
        <n v="49.49"/>
        <n v="58.69"/>
        <n v="33.13"/>
        <n v="61.79"/>
        <n v="60.19"/>
        <n v="59.57"/>
        <n v="90.06"/>
        <n v="46.3"/>
        <n v="54.42"/>
        <n v="49.23"/>
        <n v="54.67"/>
        <n v="9.59"/>
        <n v="32.74"/>
        <n v="32.31"/>
        <n v="32.79"/>
        <n v="31.39"/>
        <n v="34.69"/>
        <n v="32.09"/>
        <n v="25.39"/>
        <n v="61.14"/>
        <n v="63.08"/>
        <n v="34.86"/>
        <n v="66.43"/>
        <n v="55.74"/>
        <n v="71.6"/>
        <n v="66.4"/>
        <n v="60.54"/>
        <n v="50.41"/>
        <n v="54.21"/>
        <n v="61.46"/>
        <n v="48.79"/>
        <n v="32.23"/>
        <n v="30.42"/>
        <n v="28.25"/>
        <n v="49.27"/>
        <n v="62.84"/>
        <n v="64.3"/>
        <n v="61.27"/>
        <n v="35.72"/>
        <n v="62.22"/>
        <n v="39.26"/>
        <n v="27.99"/>
        <n v="47.0"/>
        <n v="30.11"/>
        <n v="43.7"/>
        <n v="29.82"/>
        <n v="33.09"/>
        <n v="78.81"/>
        <n v="27.31"/>
        <n v="46.96"/>
        <n v="47.28"/>
        <n v="52.86"/>
        <n v="47.77"/>
        <n v="65.6"/>
        <n v="61.08"/>
        <n v="36.21"/>
        <n v="64.74"/>
        <n v="80.69"/>
        <n v="68.2"/>
        <n v="31.05"/>
        <n v="56.04"/>
        <n v="51.57"/>
        <n v="39.71"/>
        <n v="71.7"/>
        <n v="26.7"/>
        <n v="19.92"/>
        <n v="83.61"/>
        <n v="72.47"/>
        <n v="41.6"/>
        <n v="41.48"/>
        <n v="50.81"/>
        <n v="65.53"/>
        <n v="24.98"/>
        <n v="31.23"/>
        <n v="31.19"/>
        <n v="31.89"/>
        <n v="33.76"/>
        <n v="76.38"/>
        <n v="28.7"/>
        <n v="32.85"/>
        <n v="31.43"/>
        <n v="68.71"/>
        <n v="66.85"/>
        <n v="53.48"/>
        <n v="33.34"/>
        <n v="53.36"/>
        <n v="88.92"/>
        <n v="63.51"/>
        <n v="49.22"/>
        <n v="35.75"/>
        <n v="71.82"/>
        <n v="26.29"/>
        <n v="52.65"/>
        <n v="63.68"/>
        <n v="29.54"/>
        <n v="39.19"/>
        <n v="61.43"/>
        <n v="42.41"/>
        <n v="63.45"/>
        <n v="19.33"/>
        <n v="32.43"/>
        <n v="71.01"/>
        <n v="37.35"/>
        <n v="27.69"/>
        <n v="74.42"/>
        <n v="66.89"/>
        <n v="42.22"/>
        <n v="43.98"/>
        <n v="70.18"/>
        <n v="15.33"/>
        <n v="40.94"/>
        <n v="54.66"/>
        <n v="69.86"/>
        <n v="44.08"/>
        <n v="66.37"/>
        <n v="65.16"/>
        <n v="56.99"/>
        <n v="33.7"/>
        <n v="82.14"/>
        <n v="98.03"/>
        <n v="75.36"/>
        <n v="46.85"/>
        <n v="41.46"/>
        <n v="33.85"/>
        <n v="61.48"/>
        <n v="52.8"/>
        <n v="29.31"/>
        <n v="62.62"/>
        <n v="33.22"/>
        <s v=""/>
        <n v="0.69"/>
        <n v="28.73"/>
        <n v="77.22"/>
        <n v="8.95"/>
        <n v="22.18"/>
        <n v="88.26"/>
        <n v="62.32"/>
        <n v="21.1"/>
        <n v="53.3"/>
        <n v="39.39"/>
        <n v="88.3"/>
      </sharedItems>
    </cacheField>
    <cacheField name="Likes">
      <sharedItems containsBlank="1" containsMixedTypes="1" containsNumber="1" containsInteger="1">
        <n v="3293.0"/>
        <n v="1584.0"/>
        <n v="483.0"/>
        <n v="255.0"/>
        <n v="129.0"/>
        <n v="124.0"/>
        <n v="114.0"/>
        <n v="72.0"/>
        <n v="63.0"/>
        <n v="62.0"/>
        <n v="58.0"/>
        <n v="57.0"/>
        <n v="56.0"/>
        <n v="55.0"/>
        <n v="44.0"/>
        <n v="43.0"/>
        <n v="20.0"/>
        <n v="18.0"/>
        <m/>
        <n v="660.0"/>
        <n v="444.0"/>
        <n v="207.0"/>
        <n v="199.0"/>
        <n v="177.0"/>
        <n v="146.0"/>
        <n v="128.0"/>
        <n v="127.0"/>
        <n v="125.0"/>
        <n v="117.0"/>
        <n v="93.0"/>
        <n v="87.0"/>
        <n v="84.0"/>
        <n v="79.0"/>
        <n v="76.0"/>
        <n v="67.0"/>
        <n v="59.0"/>
        <n v="39.0"/>
        <n v="37.0"/>
        <n v="26.0"/>
        <n v="23.0"/>
        <n v="22.0"/>
        <n v="13.0"/>
        <n v="9.0"/>
        <n v="6.0"/>
        <n v="5.0"/>
        <n v="4.0"/>
        <n v="3.0"/>
        <n v="2.0"/>
        <n v="1.0"/>
        <n v="0.0"/>
        <n v="1603.0"/>
        <n v="698.0"/>
        <n v="589.0"/>
        <n v="428.0"/>
        <n v="324.0"/>
        <n v="236.0"/>
        <n v="155.0"/>
        <n v="83.0"/>
        <n v="82.0"/>
        <n v="70.0"/>
        <n v="66.0"/>
        <n v="49.0"/>
        <n v="48.0"/>
        <n v="38.0"/>
        <n v="30.0"/>
        <n v="25.0"/>
        <n v="19.0"/>
        <n v="16.0"/>
        <n v="10.0"/>
        <n v="7.0"/>
        <n v="-1.0"/>
        <n v="753.0"/>
        <n v="541.0"/>
        <n v="320.0"/>
        <n v="187.0"/>
        <n v="165.0"/>
        <n v="120.0"/>
        <n v="119.0"/>
        <n v="99.0"/>
        <n v="95.0"/>
        <n v="90.0"/>
        <n v="69.0"/>
        <n v="53.0"/>
        <n v="52.0"/>
        <n v="27.0"/>
        <n v="12.0"/>
        <s v=""/>
      </sharedItems>
    </cacheField>
    <cacheField name="Shares">
      <sharedItems containsBlank="1" containsMixedTypes="1" containsNumber="1" containsInteger="1">
        <n v="1648.0"/>
        <n v="1220.0"/>
        <n v="156.0"/>
        <n v="74.0"/>
        <n v="48.0"/>
        <n v="50.0"/>
        <n v="42.0"/>
        <n v="7.0"/>
        <n v="5.0"/>
        <n v="8.0"/>
        <n v="3.0"/>
        <n v="2.0"/>
        <n v="11.0"/>
        <n v="1.0"/>
        <m/>
        <n v="293.0"/>
        <n v="272.0"/>
        <n v="27.0"/>
        <n v="147.0"/>
        <n v="62.0"/>
        <n v="49.0"/>
        <n v="28.0"/>
        <n v="36.0"/>
        <n v="4.0"/>
        <n v="25.0"/>
        <n v="6.0"/>
        <n v="38.0"/>
        <n v="16.0"/>
        <n v="13.0"/>
        <n v="15.0"/>
        <n v="0.0"/>
        <n v="818.0"/>
        <n v="296.0"/>
        <n v="196.0"/>
        <n v="201.0"/>
        <n v="124.0"/>
        <n v="76.0"/>
        <n v="84.0"/>
        <n v="21.0"/>
        <n v="14.0"/>
        <n v="9.0"/>
        <n v="20.0"/>
        <n v="10.0"/>
        <n v="350.0"/>
        <n v="385.0"/>
        <n v="101.0"/>
        <n v="123.0"/>
        <n v="88.0"/>
        <n v="66.0"/>
        <n v="24.0"/>
        <s v=""/>
      </sharedItems>
    </cacheField>
    <cacheField name="Comments added">
      <sharedItems containsBlank="1" containsMixedTypes="1" containsNumber="1" containsInteger="1">
        <n v="284.0"/>
        <n v="180.0"/>
        <n v="32.0"/>
        <n v="17.0"/>
        <n v="12.0"/>
        <n v="19.0"/>
        <n v="14.0"/>
        <n v="1.0"/>
        <n v="0.0"/>
        <n v="2.0"/>
        <m/>
        <n v="71.0"/>
        <n v="31.0"/>
        <n v="8.0"/>
        <n v="6.0"/>
        <n v="10.0"/>
        <n v="18.0"/>
        <n v="4.0"/>
        <n v="3.0"/>
        <n v="5.0"/>
        <n v="55.0"/>
        <n v="24.0"/>
        <n v="30.0"/>
        <n v="26.0"/>
        <n v="37.0"/>
        <n v="11.0"/>
        <n v="7.0"/>
        <s v=""/>
      </sharedItems>
    </cacheField>
    <cacheField name="Views">
      <sharedItems containsBlank="1" containsMixedTypes="1" containsNumber="1" containsInteger="1">
        <n v="98360.0"/>
        <n v="59564.0"/>
        <n v="10457.0"/>
        <n v="4562.0"/>
        <n v="3601.0"/>
        <n v="2656.0"/>
        <n v="2102.0"/>
        <n v="1549.0"/>
        <n v="1675.0"/>
        <n v="1209.0"/>
        <n v="1326.0"/>
        <n v="1534.0"/>
        <n v="1561.0"/>
        <n v="1616.0"/>
        <n v="1686.0"/>
        <n v="1200.0"/>
        <n v="958.0"/>
        <n v="430.0"/>
        <n v="674.0"/>
        <m/>
        <n v="17857.0"/>
        <n v="8461.0"/>
        <n v="3836.0"/>
        <n v="8396.0"/>
        <n v="4697.0"/>
        <n v="4140.0"/>
        <n v="3131.0"/>
        <n v="1899.0"/>
        <n v="2053.0"/>
        <n v="2227.0"/>
        <n v="1972.0"/>
        <n v="1962.0"/>
        <n v="1766.0"/>
        <n v="1429.0"/>
        <n v="1508.0"/>
        <n v="1237.0"/>
        <n v="2312.0"/>
        <n v="1888.0"/>
        <n v="1243.0"/>
        <n v="1299.0"/>
        <n v="1281.0"/>
        <n v="1397.0"/>
        <n v="705.0"/>
        <n v="1416.0"/>
        <n v="672.0"/>
        <n v="1054.0"/>
        <n v="261.0"/>
        <n v="447.0"/>
        <n v="316.0"/>
        <n v="126.0"/>
        <n v="64.0"/>
        <n v="68.0"/>
        <n v="138.0"/>
        <n v="70.0"/>
        <n v="41.0"/>
        <n v="31.0"/>
        <n v="36.0"/>
        <n v="42.0"/>
        <n v="50.0"/>
        <n v="77.0"/>
        <n v="27.0"/>
        <n v="1.0"/>
        <n v="50627.0"/>
        <n v="22636.0"/>
        <n v="11336.0"/>
        <n v="15322.0"/>
        <n v="7846.0"/>
        <n v="7833.0"/>
        <n v="3704.0"/>
        <n v="1214.0"/>
        <n v="1730.0"/>
        <n v="2850.0"/>
        <n v="1869.0"/>
        <n v="1633.0"/>
        <n v="923.0"/>
        <n v="1158.0"/>
        <n v="1167.0"/>
        <n v="1247.0"/>
        <n v="1505.0"/>
        <n v="1933.0"/>
        <n v="1076.0"/>
        <n v="1852.0"/>
        <n v="1178.0"/>
        <n v="426.0"/>
        <n v="435.0"/>
        <n v="371.0"/>
        <n v="103.0"/>
        <n v="406.0"/>
        <n v="188.0"/>
        <n v="319.0"/>
        <n v="185.0"/>
        <n v="143.0"/>
        <n v="120.0"/>
        <n v="97.0"/>
        <n v="117.0"/>
        <n v="179.0"/>
        <n v="69.0"/>
        <n v="44.0"/>
        <n v="100.0"/>
        <n v="46.0"/>
        <n v="32.0"/>
        <n v="29.0"/>
        <n v="9.0"/>
        <n v="13.0"/>
        <n v="15.0"/>
        <n v="11.0"/>
        <n v="5.0"/>
        <n v="14.0"/>
        <n v="10.0"/>
        <n v="28.0"/>
        <n v="7.0"/>
        <n v="17.0"/>
        <n v="16.0"/>
        <n v="12.0"/>
        <n v="19610.0"/>
        <n v="31846.0"/>
        <n v="6317.0"/>
        <n v="8264.0"/>
        <n v="3764.0"/>
        <n v="2442.0"/>
        <n v="2409.0"/>
        <n v="2609.0"/>
        <n v="2305.0"/>
        <n v="1798.0"/>
        <n v="1412.0"/>
        <n v="1211.0"/>
        <n v="1559.0"/>
        <n v="1231.0"/>
        <n v="839.0"/>
        <n v="380.0"/>
        <n v="667.0"/>
        <n v="239.0"/>
        <n v="90.0"/>
        <n v="48.0"/>
        <n v="112.0"/>
        <n v="23.0"/>
        <n v="74.0"/>
        <n v="79.0"/>
        <n v="57.0"/>
        <n v="154.0"/>
        <n v="228.0"/>
        <n v="252.0"/>
        <n v="52.0"/>
        <n v="53.0"/>
        <n v="99.0"/>
        <n v="8.0"/>
        <n v="60.0"/>
        <n v="40.0"/>
        <n v="59.0"/>
        <n v="6.0"/>
        <n v="21.0"/>
        <n v="3.0"/>
        <n v="24.0"/>
        <n v="43.0"/>
        <n v="22.0"/>
        <n v="2.0"/>
        <n v="4.0"/>
        <n v="33.0"/>
        <n v="51.0"/>
        <n v="39.0"/>
        <s v=""/>
      </sharedItems>
    </cacheField>
    <cacheField name="Watch time (hours)">
      <sharedItems containsBlank="1" containsMixedTypes="1" containsNumber="1">
        <n v="4502.6133"/>
        <n v="3333.4297"/>
        <n v="541.6922"/>
        <n v="172.9385"/>
        <n v="186.2324"/>
        <n v="81.1386"/>
        <n v="111.8755"/>
        <n v="10.6208"/>
        <n v="6.9997"/>
        <n v="5.2129"/>
        <n v="6.543"/>
        <n v="6.2142"/>
        <n v="6.4077"/>
        <n v="7.0136"/>
        <n v="6.6197"/>
        <n v="9.4053"/>
        <n v="3.6154"/>
        <n v="2.7364"/>
        <n v="3.9176"/>
        <m/>
        <n v="939.7282"/>
        <n v="438.5717"/>
        <n v="32.9166"/>
        <n v="485.2371"/>
        <n v="188.9583"/>
        <n v="175.5573"/>
        <n v="121.1938"/>
        <n v="99.393"/>
        <n v="11.6796"/>
        <n v="15.2152"/>
        <n v="9.8022"/>
        <n v="7.9534"/>
        <n v="11.0544"/>
        <n v="7.6406"/>
        <n v="12.1435"/>
        <n v="7.7561"/>
        <n v="83.402"/>
        <n v="8.2"/>
        <n v="9.08"/>
        <n v="8.8126"/>
        <n v="7.3168"/>
        <n v="5.1863"/>
        <n v="3.5918"/>
        <n v="71.1527"/>
        <n v="43.674"/>
        <n v="1.9544"/>
        <n v="2.0192"/>
        <n v="20.0685"/>
        <n v="20.7114"/>
        <n v="0.6383"/>
        <n v="0.3838"/>
        <n v="0.4707"/>
        <n v="7.3902"/>
        <n v="0.4445"/>
        <n v="0.2103"/>
        <n v="0.1563"/>
        <n v="0.328"/>
        <n v="0.2207"/>
        <n v="0.3307"/>
        <n v="0.3927"/>
        <n v="0.1024"/>
        <n v="0.0167"/>
        <n v="3402.2831"/>
        <n v="1353.2084"/>
        <n v="719.6451"/>
        <n v="1088.8093"/>
        <n v="531.4359"/>
        <n v="454.5702"/>
        <n v="164.326"/>
        <n v="17.4358"/>
        <n v="10.6116"/>
        <n v="114.5133"/>
        <n v="8.1067"/>
        <n v="10.6569"/>
        <n v="6.6411"/>
        <n v="6.1376"/>
        <n v="7.0106"/>
        <n v="6.8816"/>
        <n v="6.7266"/>
        <n v="9.0957"/>
        <n v="3.5153"/>
        <n v="103.3024"/>
        <n v="62.7143"/>
        <n v="19.5877"/>
        <n v="1.9526"/>
        <n v="1.6864"/>
        <n v="5.246"/>
        <n v="4.638"/>
        <n v="0.8058"/>
        <n v="20.479"/>
        <n v="0.8142"/>
        <n v="7.8452"/>
        <n v="5.2988"/>
        <n v="0.3255"/>
        <n v="3.6022"/>
        <n v="0.5233"/>
        <n v="7.2362"/>
        <n v="3.4236"/>
        <n v="0.2258"/>
        <n v="2.7742"/>
        <n v="0.1839"/>
        <n v="0.1747"/>
        <n v="0.2152"/>
        <n v="0.5366"/>
        <n v="0.2392"/>
        <n v="0.1438"/>
        <n v="0.1245"/>
        <n v="0.1011"/>
        <n v="0.0898"/>
        <n v="0.028"/>
        <n v="0.0389"/>
        <n v="0.0829"/>
        <n v="0.0597"/>
        <n v="0.0126"/>
        <n v="0.0823"/>
        <n v="0.0497"/>
        <n v="1.4177"/>
        <n v="0.0163"/>
        <n v="0.0645"/>
        <n v="0.0548"/>
        <n v="0.0774"/>
        <n v="0.0213"/>
        <n v="0.0957"/>
        <n v="1225.9676"/>
        <n v="1839.9304"/>
        <n v="359.5718"/>
        <n v="540.9778"/>
        <n v="255.5245"/>
        <n v="10.6464"/>
        <n v="122.7087"/>
        <n v="115.4664"/>
        <n v="149.5081"/>
        <n v="10.1559"/>
        <n v="10.1123"/>
        <n v="8.4805"/>
        <n v="100.6355"/>
        <n v="7.4698"/>
        <n v="12.4571"/>
        <n v="5.0035"/>
        <n v="4.0563"/>
        <n v="41.2695"/>
        <n v="1.3251"/>
        <n v="10.9972"/>
        <n v="0.421"/>
        <n v="0.2866"/>
        <n v="5.9464"/>
        <n v="0.0579"/>
        <n v="0.5148"/>
        <n v="4.0162"/>
        <n v="0.0134"/>
        <n v="0.2066"/>
        <n v="6.7393"/>
        <n v="13.3697"/>
        <n v="0.2364"/>
        <n v="10.8498"/>
        <n v="1.9516"/>
        <n v="0.2348"/>
        <n v="1.159"/>
        <n v="0.0278"/>
        <n v="0.0602"/>
        <n v="0.1586"/>
        <n v="4.6102"/>
        <n v="0.2577"/>
        <n v="0.0935"/>
        <n v="0.1645"/>
        <n v="3.6334"/>
        <n v="0.1005"/>
        <n v="0.0656"/>
        <n v="0.0754"/>
        <n v="0.0183"/>
        <n v="0.1527"/>
        <n v="0.0182"/>
        <n v="0.0414"/>
        <n v="0.0217"/>
        <n v="0.0647"/>
        <n v="1.196"/>
        <n v="0.0431"/>
        <n v="0.2856"/>
        <n v="0.0348"/>
        <n v="1.0482"/>
        <n v="0.0456"/>
        <n v="1.1532"/>
        <n v="0.0016"/>
        <n v="0.0053"/>
        <n v="0.1019"/>
        <n v="0.0042"/>
        <n v="0.0023"/>
        <n v="0.9682"/>
        <n v="0.0216"/>
        <n v="0.1454"/>
        <n v="0.0011"/>
        <n v="1.8806"/>
        <n v="0.0559"/>
        <n v="1.4979"/>
        <n v="0.0723"/>
        <s v=""/>
      </sharedItems>
    </cacheField>
    <cacheField name="Subscribers">
      <sharedItems containsBlank="1" containsMixedTypes="1" containsNumber="1" containsInteger="1">
        <n v="4179.0"/>
        <n v="2491.0"/>
        <n v="441.0"/>
        <n v="174.0"/>
        <n v="76.0"/>
        <n v="264.0"/>
        <n v="41.0"/>
        <n v="8.0"/>
        <n v="3.0"/>
        <n v="11.0"/>
        <n v="12.0"/>
        <n v="14.0"/>
        <n v="7.0"/>
        <n v="10.0"/>
        <n v="2.0"/>
        <n v="1.0"/>
        <m/>
        <n v="660.0"/>
        <n v="213.0"/>
        <n v="17.0"/>
        <n v="281.0"/>
        <n v="89.0"/>
        <n v="107.0"/>
        <n v="59.0"/>
        <n v="47.0"/>
        <n v="6.0"/>
        <n v="4.0"/>
        <n v="35.0"/>
        <n v="28.0"/>
        <n v="13.0"/>
        <n v="0.0"/>
        <n v="1775.0"/>
        <n v="377.0"/>
        <n v="303.0"/>
        <n v="362.0"/>
        <n v="143.0"/>
        <n v="205.0"/>
        <n v="68.0"/>
        <n v="46.0"/>
        <n v="5.0"/>
        <n v="53.0"/>
        <n v="38.0"/>
        <n v="420.0"/>
        <n v="505.0"/>
        <n v="67.0"/>
        <n v="49.0"/>
        <n v="18.0"/>
        <n v="50.0"/>
        <n v="30.0"/>
        <n v="32.0"/>
        <n v="29.0"/>
        <n v="20.0"/>
        <s v=""/>
      </sharedItems>
    </cacheField>
    <cacheField name="Impressions" numFmtId="0">
      <sharedItems containsString="0" containsBlank="1" containsNumber="1" containsInteger="1">
        <n v="1112807.0"/>
        <n v="733193.0"/>
        <n v="175350.0"/>
        <n v="61360.0"/>
        <n v="50508.0"/>
        <n v="28429.0"/>
        <n v="31502.0"/>
        <n v="3742.0"/>
        <n v="2962.0"/>
        <n v="2025.0"/>
        <n v="3695.0"/>
        <n v="2599.0"/>
        <n v="3115.0"/>
        <n v="2878.0"/>
        <n v="2404.0"/>
        <n v="2944.0"/>
        <n v="2237.0"/>
        <n v="1915.0"/>
        <n v="1949.0"/>
        <m/>
        <n v="187278.0"/>
        <n v="119826.0"/>
        <n v="13130.0"/>
        <n v="96113.0"/>
        <n v="39309.0"/>
        <n v="29560.0"/>
        <n v="45368.0"/>
        <n v="35165.0"/>
        <n v="5417.0"/>
        <n v="7597.0"/>
        <n v="5310.0"/>
        <n v="5833.0"/>
        <n v="4333.0"/>
        <n v="7025.0"/>
        <n v="6278.0"/>
        <n v="6625.0"/>
        <n v="32451.0"/>
        <n v="4511.0"/>
        <n v="5412.0"/>
        <n v="4428.0"/>
        <n v="6983.0"/>
        <n v="4320.0"/>
        <n v="2913.0"/>
        <n v="16341.0"/>
        <n v="10271.0"/>
        <n v="2366.0"/>
        <n v="2437.0"/>
        <n v="7768.0"/>
        <n v="7474.0"/>
        <n v="1293.0"/>
        <n v="861.0"/>
        <n v="801.0"/>
        <n v="1240.0"/>
        <n v="1320.0"/>
        <n v="1002.0"/>
        <n v="366.0"/>
        <n v="740.0"/>
        <n v="387.0"/>
        <n v="578.0"/>
        <n v="1266.0"/>
        <n v="661.0"/>
        <n v="0.0"/>
        <n v="623679.0"/>
        <n v="181454.0"/>
        <n v="86701.0"/>
        <n v="202047.0"/>
        <n v="88937.0"/>
        <n v="99773.0"/>
        <n v="41058.0"/>
        <n v="5449.0"/>
        <n v="8785.0"/>
        <n v="28825.0"/>
        <n v="3673.0"/>
        <n v="6701.0"/>
        <n v="6277.0"/>
        <n v="4268.0"/>
        <n v="5507.0"/>
        <n v="3295.0"/>
        <n v="5515.0"/>
        <n v="5316.0"/>
        <n v="3722.0"/>
        <n v="25520.0"/>
        <n v="15835.0"/>
        <n v="5048.0"/>
        <n v="2282.0"/>
        <n v="2798.0"/>
        <n v="2569.0"/>
        <n v="3035.0"/>
        <n v="1538.0"/>
        <n v="6040.0"/>
        <n v="224.0"/>
        <n v="4076.0"/>
        <n v="4658.0"/>
        <n v="2772.0"/>
        <n v="1123.0"/>
        <n v="5237.0"/>
        <n v="934.0"/>
        <n v="358.0"/>
        <n v="2530.0"/>
        <n v="514.0"/>
        <n v="580.0"/>
        <n v="617.0"/>
        <n v="981.0"/>
        <n v="465.0"/>
        <n v="172.0"/>
        <n v="397.0"/>
        <n v="179.0"/>
        <n v="156.0"/>
        <n v="141.0"/>
        <n v="114.0"/>
        <n v="217.0"/>
        <n v="140.0"/>
        <n v="139.0"/>
        <n v="301.0"/>
        <n v="1697.0"/>
        <n v="162.0"/>
        <n v="119.0"/>
        <n v="286.0"/>
        <n v="170.0"/>
        <n v="192.0"/>
        <n v="207.0"/>
        <n v="161950.0"/>
        <n v="319160.0"/>
        <n v="66737.0"/>
        <n v="112117.0"/>
        <n v="42205.0"/>
        <n v="3997.0"/>
        <n v="26151.0"/>
        <n v="31122.0"/>
        <n v="25360.0"/>
        <n v="6832.0"/>
        <n v="5240.0"/>
        <n v="6234.0"/>
        <n v="14868.0"/>
        <n v="5830.0"/>
        <n v="8456.0"/>
        <n v="4809.0"/>
        <n v="2959.0"/>
        <n v="8988.0"/>
        <n v="1465.0"/>
        <n v="3978.0"/>
        <n v="1158.0"/>
        <n v="1578.0"/>
        <n v="219.0"/>
        <n v="336.0"/>
        <n v="1288.0"/>
        <n v="71.0"/>
        <n v="577.0"/>
        <n v="2774.0"/>
        <n v="4099.0"/>
        <n v="392.0"/>
        <n v="2559.0"/>
        <n v="145.0"/>
        <n v="595.0"/>
        <n v="52.0"/>
        <n v="135.0"/>
        <n v="281.0"/>
        <n v="3801.0"/>
        <n v="746.0"/>
        <n v="188.0"/>
        <n v="193.0"/>
        <n v="1135.0"/>
        <n v="197.0"/>
        <n v="121.0"/>
        <n v="104.0"/>
        <n v="70.0"/>
        <n v="79.0"/>
        <n v="64.0"/>
        <n v="81.0"/>
        <n v="90.0"/>
        <n v="769.0"/>
        <n v="98.0"/>
        <n v="431.0"/>
        <n v="54.0"/>
        <n v="710.0"/>
        <n v="1167.0"/>
        <n v="639.0"/>
        <n v="157.0"/>
        <n v="74.0"/>
        <n v="48.0"/>
        <n v="383.0"/>
        <n v="94.0"/>
        <n v="473.0"/>
        <n v="133.0"/>
        <n v="1229.0"/>
        <n v="123.0"/>
        <n v="1029.0"/>
        <n v="4.0"/>
        <n v="7.0"/>
      </sharedItems>
    </cacheField>
    <cacheField name="Impressions click-through rate (%)">
      <sharedItems containsBlank="1" containsMixedTypes="1" containsNumber="1">
        <n v="5.74"/>
        <n v="6.34"/>
        <n v="4.21"/>
        <n v="5.56"/>
        <n v="5.31"/>
        <n v="3.58"/>
        <n v="4.14"/>
        <n v="5.24"/>
        <n v="4.19"/>
        <n v="4.59"/>
        <n v="5.44"/>
        <n v="5.62"/>
        <n v="5.55"/>
        <n v="4.0"/>
        <n v="4.16"/>
        <n v="7.51"/>
        <n v="4.74"/>
        <n v="3.45"/>
        <n v="3.85"/>
        <m/>
        <n v="6.77"/>
        <n v="4.71"/>
        <n v="7.31"/>
        <n v="6.17"/>
        <n v="6.19"/>
        <n v="6.3"/>
        <n v="4.08"/>
        <n v="4.06"/>
        <n v="6.28"/>
        <n v="7.61"/>
        <n v="6.84"/>
        <n v="6.96"/>
        <n v="5.22"/>
        <n v="5.99"/>
        <n v="5.89"/>
        <n v="3.4"/>
        <n v="5.08"/>
        <n v="7.45"/>
        <n v="4.38"/>
        <n v="7.03"/>
        <n v="4.77"/>
        <n v="7.62"/>
        <n v="3.67"/>
        <n v="4.44"/>
        <n v="5.45"/>
        <n v="2.75"/>
        <n v="3.81"/>
        <n v="2.17"/>
        <n v="1.24"/>
        <n v="1.74"/>
        <n v="6.53"/>
        <n v="2.42"/>
        <n v="0.6"/>
        <n v="1.64"/>
        <n v="0.95"/>
        <n v="4.13"/>
        <n v="0.87"/>
        <n v="0.45"/>
        <s v=""/>
        <n v="6.31"/>
        <n v="9.73"/>
        <n v="9.17"/>
        <n v="6.06"/>
        <n v="5.65"/>
        <n v="4.95"/>
        <n v="3.93"/>
        <n v="4.28"/>
        <n v="6.68"/>
        <n v="7.29"/>
        <n v="4.82"/>
        <n v="5.37"/>
        <n v="5.96"/>
        <n v="5.95"/>
        <n v="4.98"/>
        <n v="4.49"/>
        <n v="4.97"/>
        <n v="4.65"/>
        <n v="5.21"/>
        <n v="4.89"/>
        <n v="3.51"/>
        <n v="2.76"/>
        <n v="3.47"/>
        <n v="2.37"/>
        <n v="5.67"/>
        <n v="2.34"/>
        <n v="2.91"/>
        <n v="6.7"/>
        <n v="2.09"/>
        <n v="1.91"/>
        <n v="3.48"/>
        <n v="1.7"/>
        <n v="2.04"/>
        <n v="3.96"/>
        <n v="3.35"/>
        <n v="1.34"/>
        <n v="2.72"/>
        <n v="0.69"/>
        <n v="3.24"/>
        <n v="1.94"/>
        <n v="2.8"/>
        <n v="3.27"/>
        <n v="1.12"/>
        <n v="1.28"/>
        <n v="0.71"/>
        <n v="1.92"/>
        <n v="4.39"/>
        <n v="0.92"/>
        <n v="0.0"/>
        <n v="1.44"/>
        <n v="0.33"/>
        <n v="0.77"/>
        <n v="0.62"/>
        <n v="1.4"/>
        <n v="1.76"/>
        <n v="2.08"/>
        <n v="9.62"/>
        <n v="7.68"/>
        <n v="5.59"/>
        <n v="5.87"/>
        <n v="5.23"/>
        <n v="5.15"/>
        <n v="4.29"/>
        <n v="5.3"/>
        <n v="7.35"/>
        <n v="6.51"/>
        <n v="8.23"/>
        <n v="6.69"/>
        <n v="5.64"/>
        <n v="1.93"/>
        <n v="5.49"/>
        <n v="1.37"/>
        <n v="3.42"/>
        <n v="2.07"/>
        <n v="0.58"/>
        <n v="3.36"/>
        <n v="3.87"/>
        <n v="3.88"/>
        <n v="1.04"/>
        <n v="3.9"/>
        <n v="2.3"/>
        <n v="2.15"/>
        <n v="7.56"/>
        <n v="3.7"/>
        <n v="0.36"/>
        <n v="2.16"/>
        <n v="0.4"/>
        <n v="3.19"/>
        <n v="3.11"/>
        <n v="3.17"/>
        <n v="3.55"/>
        <n v="2.48"/>
        <n v="2.88"/>
        <n v="3.05"/>
        <n v="1.27"/>
        <n v="3.13"/>
        <n v="1.23"/>
        <n v="1.3"/>
        <n v="2.32"/>
        <n v="2.25"/>
        <n v="0.84"/>
        <n v="1.71"/>
        <n v="1.35"/>
        <n v="3.39"/>
        <n v="1.06"/>
        <n v="2.44"/>
        <n v="0.72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Invs Supply Analytics" cacheId="0" dataCaption="" compact="0" compactData="0">
  <location ref="L1:R3" firstHeaderRow="0" firstDataRow="0" firstDataCol="1"/>
  <pivotFields>
    <pivotField name="Content type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h" axis="axisCol" compact="0" outline="0" multipleItemSelectionAllowed="1" showAll="0" sortType="ascending">
      <items>
        <item x="1"/>
        <item x="2"/>
        <item x="4"/>
        <item x="3"/>
        <item x="0"/>
        <item t="default"/>
      </items>
    </pivotField>
    <pivotField name="Videos publish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ha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mments add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verage percentage viewed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ubscrib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colFields>
    <field x="1"/>
  </colFields>
  <dataFields>
    <dataField name="COUNTA of Content type" fld="0" subtotal="count" baseField="0"/>
  </dataFields>
</pivotTableDefinition>
</file>

<file path=xl/pivotTables/pivotTable2.xml><?xml version="1.0" encoding="utf-8"?>
<pivotTableDefinition xmlns="http://schemas.openxmlformats.org/spreadsheetml/2006/main" name="Analytics - Inv Dump" cacheId="1" dataCaption="" compact="0" compactData="0">
  <location ref="P1:V3" firstHeaderRow="0" firstDataRow="0" firstDataCol="1"/>
  <pivotFields>
    <pivotField name="Video 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Video publish 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Month" axis="axisCol" compact="0" outline="0" multipleItemSelectionAllowed="1" showAll="0" sortType="ascending">
      <items>
        <item x="0"/>
        <item x="2"/>
        <item x="4"/>
        <item x="3"/>
        <item x="1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Average percentage viewed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Sha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Comments add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Watch time (hour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Subscrib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Impres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Impressions click-through rate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colFields>
    <field x="2"/>
  </colFields>
  <dataFields>
    <dataField name="SUM of Impressions" fld="11" baseField="0"/>
  </dataFields>
</pivotTableDefinition>
</file>

<file path=xl/tables/table1.xml><?xml version="1.0" encoding="utf-8"?>
<table xmlns="http://schemas.openxmlformats.org/spreadsheetml/2006/main" ref="A1:F132" displayName="Table1" name="Table1" id="1">
  <autoFilter ref="$A$1:$F$132"/>
  <tableColumns count="6">
    <tableColumn name="Go live dates" id="1"/>
    <tableColumn name="LF" id="2"/>
    <tableColumn name="Shorts" id="3"/>
    <tableColumn name="Status" id="4"/>
    <tableColumn name="Assets" id="5"/>
    <tableColumn name="Column 1" id="6"/>
  </tableColumns>
  <tableStyleInfo name="Investors-style" showColumnStripes="0" showFirstColumn="1" showLastColumn="1" showRowStripes="1"/>
</table>
</file>

<file path=xl/tables/table2.xml><?xml version="1.0" encoding="utf-8"?>
<table xmlns="http://schemas.openxmlformats.org/spreadsheetml/2006/main" ref="A1:F120" displayName="Table1_2" name="Table1_2" id="2">
  <autoFilter ref="$A$1:$F$120"/>
  <tableColumns count="6">
    <tableColumn name="Go live dates" id="1"/>
    <tableColumn name="LF" id="2"/>
    <tableColumn name="Shorts" id="3"/>
    <tableColumn name="Status" id="4"/>
    <tableColumn name="Assets" id="5"/>
    <tableColumn name="Column 1" id="6"/>
  </tableColumns>
  <tableStyleInfo name="Finone-style" showColumnStripes="0" showFirstColumn="1" showLastColumn="1" showRowStripes="1"/>
</table>
</file>

<file path=xl/tables/table3.xml><?xml version="1.0" encoding="utf-8"?>
<table xmlns="http://schemas.openxmlformats.org/spreadsheetml/2006/main" headerRowCount="0" ref="A1:G1" displayName="Table2" name="Table2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Mai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2:C49" displayName="Table_1" name="Table_1" id="4">
  <tableColumns count="3">
    <tableColumn name="Column1" id="1"/>
    <tableColumn name="Column2" id="2"/>
    <tableColumn name="Column3" id="3"/>
  </tableColumns>
  <tableStyleInfo name="Main-style 2" showColumnStripes="0" showFirstColumn="1" showLastColumn="1" showRowStripes="1"/>
</table>
</file>

<file path=xl/tables/table5.xml><?xml version="1.0" encoding="utf-8"?>
<table xmlns="http://schemas.openxmlformats.org/spreadsheetml/2006/main" ref="A1:G52" displayName="Table3" name="Table3" id="5">
  <tableColumns count="7">
    <tableColumn name="Go live dates" id="1"/>
    <tableColumn name="LF" id="2"/>
    <tableColumn name="Shorts" id="3"/>
    <tableColumn name="Status" id="4"/>
    <tableColumn name="Assets" id="5"/>
    <tableColumn name="POC" id="6"/>
    <tableColumn name="Shoot" id="7"/>
  </tableColumns>
  <tableStyleInfo name="Telug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84" dT="2026-02-10T08:00:51.00" personId="{5392dfad-54e9-430c-9ddd-b99771afb69f}" id="{7bc1b9b9-2470-40be-8ae6-09a1056e6246}" done="0">
    <x18tc:text xml:space="preserve">can look at new styles for this</x18tc:text>
  </x18tc:threadedComment>
  <x18tc:threadedComment ref="B68" dT="2026-02-03T06:00:25.00" personId="{5392dfad-54e9-430c-9ddd-b99771afb69f}" id="{abcb378f-722e-4f90-afc0-366bd7af5a3c}" done="0">
    <x18tc:text xml:space="preserve">on hold - because all metal stocks fell</x18tc:text>
  </x18tc:threadedComment>
  <x18tc:threadedComment ref="A1" dT="2025-12-02T09:03:46.00" personId="{5392dfad-54e9-430c-9ddd-b99771afb69f}" id="{0ff15ebc-cc35-4b53-8cbc-f2f7cd951c13}" done="0">
    <x18tc:text xml:space="preserve">Thinking of filling this gap with some shorts instead - native shorts @sayyedfarhan039@gmail.com
Assigned to sayyedfarhan039@gmail.com</x18tc:text>
    <x18tc:mentions>
      <x18tc:mention mentionpersonId="{6e5f745a-2751-4633-a245-9a9e4715f8f7}" mentionId="{2c6624e3-4eef-451d-88ae-86c59d7d8809}" startIndex="70" length="26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4" dT="2026-02-03T05:58:35.00" personId="{5392dfad-54e9-430c-9ddd-b99771afb69f}" id="{f557b6fc-24bd-41d0-9bee-4e151f37ee2c}" done="0">
    <x18tc:text xml:space="preserve">Delayed because of edit issues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0ReWSEAG30v1ah1nYgbLusnoeRbGRTh1bXxp5byJtWI/edit?usp=sharing" TargetMode="External"/><Relationship Id="rId22" Type="http://schemas.openxmlformats.org/officeDocument/2006/relationships/hyperlink" Target="https://docs.google.com/document/d/1XB6vAxevSJUlNJGs0JM_CvPiCSEBjTXpd6XjWCddVnU/edit?usp=sharing" TargetMode="External"/><Relationship Id="rId21" Type="http://schemas.openxmlformats.org/officeDocument/2006/relationships/hyperlink" Target="https://docs.google.com/document/d/1g1ODLEuwcTwy1jjU2ItT0ej7A5e3enTIM6bJRedtCFg/edit?usp=sharing" TargetMode="External"/><Relationship Id="rId24" Type="http://schemas.openxmlformats.org/officeDocument/2006/relationships/hyperlink" Target="https://docs.google.com/document/d/169gxG3S6aHweNfoOuDkgroV_uWNnvScvDAzD5DBOE_Q/edit?usp=sharing" TargetMode="External"/><Relationship Id="rId23" Type="http://schemas.openxmlformats.org/officeDocument/2006/relationships/hyperlink" Target="https://docs.google.com/document/d/114SBaP1DTfkvlYz9-uAkKUlYn8IckVsOPCtTJpuaNL0/edit?usp=sharing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document/d/10GaONi8KfjYve4O9vt5gPX9iWL-bKzFQCwV2ydAUuXs/edit?usp=sharing" TargetMode="External"/><Relationship Id="rId9" Type="http://schemas.openxmlformats.org/officeDocument/2006/relationships/hyperlink" Target="https://docs.google.com/document/d/1Za06MinkeCaVi8OraGjVqumF8xKC_OPiWYx1h4JTvII/edit?usp=sharing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docs.google.com/document/d/1Ak3gOfop1IGkNT5qlc9cfRr84cR8toWD1xa5YCv7oLs/edit?usp=sharing" TargetMode="External"/><Relationship Id="rId27" Type="http://schemas.openxmlformats.org/officeDocument/2006/relationships/vmlDrawing" Target="../drawings/vmlDrawing1.vml"/><Relationship Id="rId5" Type="http://schemas.openxmlformats.org/officeDocument/2006/relationships/hyperlink" Target="https://docs.google.com/document/d/1POfJRJgFIvufu-8h34SrCshkT1vg3SXHiyMc5WOLoOg/edit?usp=sharing" TargetMode="External"/><Relationship Id="rId6" Type="http://schemas.openxmlformats.org/officeDocument/2006/relationships/hyperlink" Target="https://docs.google.com/document/d/1dYt14WQEjsHjgTsf2J2IPAS5gDzia3xAU0sIxKB2KSY/edit?usp=sharing" TargetMode="External"/><Relationship Id="rId29" Type="http://schemas.openxmlformats.org/officeDocument/2006/relationships/table" Target="../tables/table1.xml"/><Relationship Id="rId7" Type="http://schemas.openxmlformats.org/officeDocument/2006/relationships/hyperlink" Target="https://docs.google.com/document/d/1UEIawLajjGaUTxF9IclyCTAwh9_4wfdSyG9nW5g7rqY/edit?usp=sharing" TargetMode="External"/><Relationship Id="rId8" Type="http://schemas.openxmlformats.org/officeDocument/2006/relationships/hyperlink" Target="https://docs.google.com/document/d/1p8t0XHGCbdOuT9wZ9u11nPBMpGmROKUXbHWTpIuqpsw/edit?usp=sharing" TargetMode="External"/><Relationship Id="rId11" Type="http://schemas.openxmlformats.org/officeDocument/2006/relationships/hyperlink" Target="https://docs.google.com/document/d/1TfMIEfXfdVblbWmcRgyivJmqcZuLTj4Sq7elMCr3eWQ/edit?usp=sharing" TargetMode="External"/><Relationship Id="rId10" Type="http://schemas.openxmlformats.org/officeDocument/2006/relationships/hyperlink" Target="https://docs.google.com/document/d/1ISPqo7W-1gaEcOHur9rc-p6hebiaCw4WnvHPO64j_ms/edit?usp=sharing" TargetMode="External"/><Relationship Id="rId13" Type="http://schemas.openxmlformats.org/officeDocument/2006/relationships/hyperlink" Target="https://docs.google.com/document/d/1gaUK0p7rZlae_5_APf_YWUF9vDdUyPz4vwl57_Fg-XA/edit?usp=sharing" TargetMode="External"/><Relationship Id="rId12" Type="http://schemas.openxmlformats.org/officeDocument/2006/relationships/hyperlink" Target="https://docs.google.com/document/d/18UpKqz6vF7NuCUBTmNTZv7cqrpm9CX32v1xGmW_tEBo/edit?usp=sharing" TargetMode="External"/><Relationship Id="rId15" Type="http://schemas.openxmlformats.org/officeDocument/2006/relationships/hyperlink" Target="https://docs.google.com/document/d/1PDm6wkmwPF1gvZ6-awtGm6ADBdHOkI3ejSs51bLuQPw/edit?usp=sharing" TargetMode="External"/><Relationship Id="rId14" Type="http://schemas.openxmlformats.org/officeDocument/2006/relationships/hyperlink" Target="https://docs.google.com/document/d/1hZZm1avHbkeGSN9zLcGXzCPQBGgojQ91-xgAtP2XJ-k/edit?usp=sharing" TargetMode="External"/><Relationship Id="rId17" Type="http://schemas.openxmlformats.org/officeDocument/2006/relationships/hyperlink" Target="https://docs.google.com/document/d/1_s7DWhiuNMWvHnkrGaGvZ6QEMmF4VtL8IvwyBQg8_kA/edit?usp=sharing" TargetMode="External"/><Relationship Id="rId16" Type="http://schemas.openxmlformats.org/officeDocument/2006/relationships/hyperlink" Target="https://docs.google.com/document/d/1VCTnBqd9XOABWdZs4-u9KzlUJkizaNrwtN0hVrtBnpU/edit?usp=sharing" TargetMode="External"/><Relationship Id="rId19" Type="http://schemas.openxmlformats.org/officeDocument/2006/relationships/hyperlink" Target="https://docs.google.com/document/d/13mbgE35OFAdQL4AJ8IK8_zerR4GKeTxTqkfSPsEimjA/edit?usp=sharing" TargetMode="External"/><Relationship Id="rId18" Type="http://schemas.openxmlformats.org/officeDocument/2006/relationships/hyperlink" Target="https://docs.google.com/document/d/17ggT82JwrVlCEb9TtKLg_AfqlWsBx1Gx2FdFsocKG84/edit?tab=t.6eulihadk1v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9" Type="http://schemas.openxmlformats.org/officeDocument/2006/relationships/table" Target="../tables/table4.xml"/><Relationship Id="rId5" Type="http://schemas.openxmlformats.org/officeDocument/2006/relationships/vmlDrawing" Target="../drawings/vmlDrawing2.vml"/><Relationship Id="rId8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FKa0wtZRqfwQl3olJA2e3-ityjVXzzl-mDqH-YuieMA/edit?usp=sharing" TargetMode="External"/><Relationship Id="rId22" Type="http://schemas.openxmlformats.org/officeDocument/2006/relationships/hyperlink" Target="https://docs.google.com/document/d/1FKa0wtZRqfwQl3olJA2e3-ityjVXzzl-mDqH-YuieMA/edit?usp=sharing" TargetMode="External"/><Relationship Id="rId21" Type="http://schemas.openxmlformats.org/officeDocument/2006/relationships/hyperlink" Target="https://docs.google.com/document/d/1FKa0wtZRqfwQl3olJA2e3-ityjVXzzl-mDqH-YuieMA/edit?usp=sharing" TargetMode="External"/><Relationship Id="rId23" Type="http://schemas.openxmlformats.org/officeDocument/2006/relationships/drawing" Target="../drawings/drawing5.xml"/><Relationship Id="rId1" Type="http://schemas.openxmlformats.org/officeDocument/2006/relationships/hyperlink" Target="https://docs.google.com/document/d/1CbEUXbmdehVWln5320unAJgxbFL68hrksLaQThxj6fQ/edit?tab=t.88fe7l607bpa" TargetMode="External"/><Relationship Id="rId2" Type="http://schemas.openxmlformats.org/officeDocument/2006/relationships/hyperlink" Target="https://docs.google.com/document/d/1CbEUXbmdehVWln5320unAJgxbFL68hrksLaQThxj6fQ/edit?tab=t.88fe7l607bpa" TargetMode="External"/><Relationship Id="rId3" Type="http://schemas.openxmlformats.org/officeDocument/2006/relationships/hyperlink" Target="https://docs.google.com/document/d/1CbEUXbmdehVWln5320unAJgxbFL68hrksLaQThxj6fQ/edit?tab=t.146rj0ckpmuw" TargetMode="External"/><Relationship Id="rId4" Type="http://schemas.openxmlformats.org/officeDocument/2006/relationships/hyperlink" Target="https://docs.google.com/document/d/1CbEUXbmdehVWln5320unAJgxbFL68hrksLaQThxj6fQ/edit?tab=t.ud32fr920vjl" TargetMode="External"/><Relationship Id="rId9" Type="http://schemas.openxmlformats.org/officeDocument/2006/relationships/hyperlink" Target="https://docs.google.com/document/d/1CbEUXbmdehVWln5320unAJgxbFL68hrksLaQThxj6fQ/edit?usp=sharing" TargetMode="External"/><Relationship Id="rId25" Type="http://schemas.openxmlformats.org/officeDocument/2006/relationships/table" Target="../tables/table5.xml"/><Relationship Id="rId5" Type="http://schemas.openxmlformats.org/officeDocument/2006/relationships/hyperlink" Target="https://docs.google.com/document/d/1CbEUXbmdehVWln5320unAJgxbFL68hrksLaQThxj6fQ/edit?tab=t.jm2qlau6oihv" TargetMode="External"/><Relationship Id="rId6" Type="http://schemas.openxmlformats.org/officeDocument/2006/relationships/hyperlink" Target="https://docs.google.com/document/d/1CbEUXbmdehVWln5320unAJgxbFL68hrksLaQThxj6fQ/edit?tab=t.jm2qlau6oihv" TargetMode="External"/><Relationship Id="rId7" Type="http://schemas.openxmlformats.org/officeDocument/2006/relationships/hyperlink" Target="https://docs.google.com/document/d/1CbEUXbmdehVWln5320unAJgxbFL68hrksLaQThxj6fQ/edit?tab=t.jm2qlau6oihv" TargetMode="External"/><Relationship Id="rId8" Type="http://schemas.openxmlformats.org/officeDocument/2006/relationships/hyperlink" Target="https://docs.google.com/document/d/1CbEUXbmdehVWln5320unAJgxbFL68hrksLaQThxj6fQ/edit?tab=t.5zg7dq41hav8" TargetMode="External"/><Relationship Id="rId11" Type="http://schemas.openxmlformats.org/officeDocument/2006/relationships/hyperlink" Target="https://docs.google.com/document/d/1FKa0wtZRqfwQl3olJA2e3-ityjVXzzl-mDqH-YuieMA/edit?usp=sharing" TargetMode="External"/><Relationship Id="rId10" Type="http://schemas.openxmlformats.org/officeDocument/2006/relationships/hyperlink" Target="https://docs.google.com/document/d/1FKa0wtZRqfwQl3olJA2e3-ityjVXzzl-mDqH-YuieMA/edit?usp=sharing" TargetMode="External"/><Relationship Id="rId13" Type="http://schemas.openxmlformats.org/officeDocument/2006/relationships/hyperlink" Target="https://docs.google.com/document/d/1FKa0wtZRqfwQl3olJA2e3-ityjVXzzl-mDqH-YuieMA/edit?usp=sharing" TargetMode="External"/><Relationship Id="rId12" Type="http://schemas.openxmlformats.org/officeDocument/2006/relationships/hyperlink" Target="https://docs.google.com/document/d/1FKa0wtZRqfwQl3olJA2e3-ityjVXzzl-mDqH-YuieMA/edit?usp=sharing" TargetMode="External"/><Relationship Id="rId15" Type="http://schemas.openxmlformats.org/officeDocument/2006/relationships/hyperlink" Target="https://docs.google.com/document/d/1FKa0wtZRqfwQl3olJA2e3-ityjVXzzl-mDqH-YuieMA/edit?usp=sharing" TargetMode="External"/><Relationship Id="rId14" Type="http://schemas.openxmlformats.org/officeDocument/2006/relationships/hyperlink" Target="https://docs.google.com/document/d/1FKa0wtZRqfwQl3olJA2e3-ityjVXzzl-mDqH-YuieMA/edit?usp=sharing" TargetMode="External"/><Relationship Id="rId17" Type="http://schemas.openxmlformats.org/officeDocument/2006/relationships/hyperlink" Target="https://docs.google.com/document/d/1FKa0wtZRqfwQl3olJA2e3-ityjVXzzl-mDqH-YuieMA/edit?usp=sharing" TargetMode="External"/><Relationship Id="rId16" Type="http://schemas.openxmlformats.org/officeDocument/2006/relationships/hyperlink" Target="https://docs.google.com/document/d/1FKa0wtZRqfwQl3olJA2e3-ityjVXzzl-mDqH-YuieMA/edit?usp=sharing" TargetMode="External"/><Relationship Id="rId19" Type="http://schemas.openxmlformats.org/officeDocument/2006/relationships/hyperlink" Target="https://docs.google.com/document/d/1FKa0wtZRqfwQl3olJA2e3-ityjVXzzl-mDqH-YuieMA/edit?usp=sharing" TargetMode="External"/><Relationship Id="rId18" Type="http://schemas.openxmlformats.org/officeDocument/2006/relationships/hyperlink" Target="https://docs.google.com/document/d/1FKa0wtZRqfwQl3olJA2e3-ityjVXzzl-mDqH-YuieMA/edit?usp=sharing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torahulj/shorts" TargetMode="External"/><Relationship Id="rId2" Type="http://schemas.openxmlformats.org/officeDocument/2006/relationships/hyperlink" Target="https://www.youtube.com/@namaskarprasad/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47.38"/>
    <col customWidth="1" min="3" max="3" width="34.13"/>
    <col customWidth="1" min="4" max="4" width="24.13"/>
    <col customWidth="1" min="5" max="5" width="34.5"/>
    <col customWidth="1" min="6" max="7" width="3.0"/>
    <col customWidth="1" min="8" max="8" width="22.13"/>
    <col customWidth="1" min="9" max="9" width="24.75"/>
    <col customWidth="1" min="10" max="10" width="19.75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/>
      <c r="H1" s="4"/>
      <c r="I1" s="5" t="s">
        <v>6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6">
        <v>45962.0</v>
      </c>
      <c r="B2" s="7" t="s">
        <v>7</v>
      </c>
      <c r="C2" s="8"/>
      <c r="D2" s="9" t="s">
        <v>8</v>
      </c>
      <c r="E2" s="10" t="s">
        <v>9</v>
      </c>
      <c r="F2" s="11"/>
      <c r="G2" s="4"/>
      <c r="H2" s="4"/>
      <c r="I2" s="12" t="s">
        <v>10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13">
        <v>45965.0</v>
      </c>
      <c r="B3" s="14"/>
      <c r="C3" s="15" t="s">
        <v>11</v>
      </c>
      <c r="D3" s="9" t="s">
        <v>8</v>
      </c>
      <c r="E3" s="11"/>
      <c r="F3" s="11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2.5" customHeight="1">
      <c r="A4" s="13">
        <v>45968.0</v>
      </c>
      <c r="B4" s="14"/>
      <c r="C4" s="15" t="s">
        <v>12</v>
      </c>
      <c r="D4" s="9" t="s">
        <v>8</v>
      </c>
      <c r="E4" s="11"/>
      <c r="F4" s="11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2.5" customHeight="1">
      <c r="A5" s="6">
        <v>45967.0</v>
      </c>
      <c r="B5" s="7" t="s">
        <v>13</v>
      </c>
      <c r="C5" s="8"/>
      <c r="D5" s="9" t="s">
        <v>8</v>
      </c>
      <c r="E5" s="10" t="s">
        <v>14</v>
      </c>
      <c r="F5" s="11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A6" s="13">
        <v>45970.0</v>
      </c>
      <c r="B6" s="14"/>
      <c r="C6" s="15" t="s">
        <v>15</v>
      </c>
      <c r="D6" s="9" t="s">
        <v>8</v>
      </c>
      <c r="E6" s="11"/>
      <c r="F6" s="11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A7" s="13">
        <v>45971.0</v>
      </c>
      <c r="B7" s="14"/>
      <c r="C7" s="15" t="s">
        <v>16</v>
      </c>
      <c r="D7" s="9" t="s">
        <v>8</v>
      </c>
      <c r="E7" s="11"/>
      <c r="F7" s="1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2.5" customHeight="1">
      <c r="A8" s="6">
        <v>45975.0</v>
      </c>
      <c r="B8" s="7" t="s">
        <v>17</v>
      </c>
      <c r="C8" s="8"/>
      <c r="D8" s="9" t="s">
        <v>8</v>
      </c>
      <c r="E8" s="10" t="s">
        <v>18</v>
      </c>
      <c r="F8" s="1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2.5" customHeight="1">
      <c r="A9" s="13">
        <v>45977.0</v>
      </c>
      <c r="B9" s="14"/>
      <c r="C9" s="15" t="s">
        <v>19</v>
      </c>
      <c r="D9" s="9" t="s">
        <v>8</v>
      </c>
      <c r="E9" s="11"/>
      <c r="F9" s="1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2.5" customHeight="1">
      <c r="A10" s="13">
        <v>45978.0</v>
      </c>
      <c r="B10" s="14"/>
      <c r="C10" s="15" t="s">
        <v>20</v>
      </c>
      <c r="D10" s="9" t="s">
        <v>8</v>
      </c>
      <c r="E10" s="11"/>
      <c r="F10" s="11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A11" s="13">
        <v>45979.0</v>
      </c>
      <c r="B11" s="16"/>
      <c r="C11" s="15" t="s">
        <v>21</v>
      </c>
      <c r="D11" s="9" t="s">
        <v>8</v>
      </c>
      <c r="E11" s="11"/>
      <c r="F11" s="1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6">
        <v>45981.0</v>
      </c>
      <c r="B12" s="7" t="s">
        <v>22</v>
      </c>
      <c r="C12" s="15"/>
      <c r="D12" s="9" t="s">
        <v>8</v>
      </c>
      <c r="E12" s="10" t="s">
        <v>23</v>
      </c>
      <c r="F12" s="1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2.5" customHeight="1">
      <c r="A13" s="13">
        <v>45982.0</v>
      </c>
      <c r="B13" s="16"/>
      <c r="C13" s="15" t="s">
        <v>24</v>
      </c>
      <c r="D13" s="9" t="s">
        <v>8</v>
      </c>
      <c r="E13" s="11"/>
      <c r="F13" s="1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2.5" customHeight="1">
      <c r="A14" s="13">
        <v>45983.0</v>
      </c>
      <c r="B14" s="16"/>
      <c r="C14" s="15" t="s">
        <v>25</v>
      </c>
      <c r="D14" s="9" t="s">
        <v>8</v>
      </c>
      <c r="E14" s="11"/>
      <c r="F14" s="11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2.5" customHeight="1">
      <c r="A15" s="6">
        <v>45985.0</v>
      </c>
      <c r="B15" s="7" t="s">
        <v>26</v>
      </c>
      <c r="C15" s="15"/>
      <c r="D15" s="9" t="s">
        <v>8</v>
      </c>
      <c r="E15" s="10" t="s">
        <v>27</v>
      </c>
      <c r="F15" s="11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2.5" customHeight="1">
      <c r="A16" s="13">
        <v>45987.0</v>
      </c>
      <c r="B16" s="14"/>
      <c r="C16" s="15" t="s">
        <v>28</v>
      </c>
      <c r="D16" s="9" t="s">
        <v>8</v>
      </c>
      <c r="E16" s="11"/>
      <c r="F16" s="11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2.5" customHeight="1">
      <c r="A17" s="13">
        <v>45989.0</v>
      </c>
      <c r="B17" s="14"/>
      <c r="C17" s="15" t="s">
        <v>29</v>
      </c>
      <c r="D17" s="9" t="s">
        <v>30</v>
      </c>
      <c r="E17" s="11"/>
      <c r="F17" s="11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2.5" customHeight="1">
      <c r="A18" s="6">
        <v>45989.0</v>
      </c>
      <c r="B18" s="7" t="s">
        <v>31</v>
      </c>
      <c r="C18" s="8"/>
      <c r="D18" s="9" t="s">
        <v>8</v>
      </c>
      <c r="E18" s="10" t="s">
        <v>32</v>
      </c>
      <c r="F18" s="11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2.5" customHeight="1">
      <c r="A19" s="13">
        <v>45990.0</v>
      </c>
      <c r="B19" s="14"/>
      <c r="C19" s="15" t="s">
        <v>33</v>
      </c>
      <c r="D19" s="9" t="s">
        <v>8</v>
      </c>
      <c r="E19" s="11"/>
      <c r="F19" s="1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2.5" customHeight="1">
      <c r="A20" s="13">
        <v>45992.0</v>
      </c>
      <c r="B20" s="14"/>
      <c r="C20" s="15" t="s">
        <v>34</v>
      </c>
      <c r="D20" s="9" t="s">
        <v>8</v>
      </c>
      <c r="E20" s="11"/>
      <c r="F20" s="11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2.5" customHeight="1">
      <c r="A21" s="13">
        <v>45993.0</v>
      </c>
      <c r="B21" s="14"/>
      <c r="C21" s="18" t="s">
        <v>35</v>
      </c>
      <c r="D21" s="19"/>
      <c r="E21" s="20"/>
      <c r="F21" s="20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2.5" customHeight="1">
      <c r="A22" s="6">
        <v>45994.0</v>
      </c>
      <c r="B22" s="7" t="s">
        <v>36</v>
      </c>
      <c r="C22" s="8"/>
      <c r="D22" s="9" t="s">
        <v>8</v>
      </c>
      <c r="E22" s="10" t="s">
        <v>37</v>
      </c>
      <c r="F22" s="11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2.5" customHeight="1">
      <c r="A23" s="13">
        <v>45997.0</v>
      </c>
      <c r="B23" s="14"/>
      <c r="C23" s="18" t="s">
        <v>38</v>
      </c>
      <c r="D23" s="9" t="s">
        <v>8</v>
      </c>
      <c r="E23" s="20"/>
      <c r="F23" s="20"/>
      <c r="G23" s="4"/>
      <c r="H23" s="4"/>
      <c r="I23" s="21" t="s">
        <v>39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2.5" customHeight="1">
      <c r="A24" s="13">
        <v>45998.0</v>
      </c>
      <c r="B24" s="14"/>
      <c r="C24" s="15" t="s">
        <v>15</v>
      </c>
      <c r="D24" s="9" t="s">
        <v>8</v>
      </c>
      <c r="E24" s="20"/>
      <c r="F24" s="20"/>
      <c r="G24" s="4"/>
      <c r="H24" s="21" t="s">
        <v>40</v>
      </c>
      <c r="I24" s="5" t="s">
        <v>41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2.5" customHeight="1">
      <c r="A25" s="13">
        <v>45999.0</v>
      </c>
      <c r="B25" s="14"/>
      <c r="C25" s="15" t="s">
        <v>16</v>
      </c>
      <c r="D25" s="9" t="s">
        <v>8</v>
      </c>
      <c r="E25" s="20"/>
      <c r="F25" s="20"/>
      <c r="G25" s="4"/>
      <c r="H25" s="4"/>
      <c r="I25" s="5" t="s">
        <v>42</v>
      </c>
      <c r="J25" s="21" t="s">
        <v>43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2.5" customHeight="1">
      <c r="A26" s="6">
        <v>46000.0</v>
      </c>
      <c r="B26" s="7" t="s">
        <v>44</v>
      </c>
      <c r="C26" s="15"/>
      <c r="D26" s="9" t="s">
        <v>8</v>
      </c>
      <c r="E26" s="10" t="s">
        <v>45</v>
      </c>
      <c r="F26" s="11"/>
      <c r="G26" s="4"/>
      <c r="H26" s="4"/>
      <c r="I26" s="5" t="s">
        <v>46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2.5" customHeight="1">
      <c r="A27" s="13">
        <v>46004.0</v>
      </c>
      <c r="B27" s="16"/>
      <c r="C27" s="15" t="s">
        <v>47</v>
      </c>
      <c r="D27" s="9" t="s">
        <v>30</v>
      </c>
      <c r="E27" s="20"/>
      <c r="F27" s="20"/>
      <c r="G27" s="4"/>
      <c r="H27" s="4"/>
      <c r="I27" s="21" t="s">
        <v>48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2.5" customHeight="1">
      <c r="A28" s="13">
        <v>46005.0</v>
      </c>
      <c r="B28" s="16"/>
      <c r="C28" s="15" t="s">
        <v>49</v>
      </c>
      <c r="D28" s="9" t="s">
        <v>30</v>
      </c>
      <c r="E28" s="20"/>
      <c r="F28" s="20"/>
      <c r="G28" s="4"/>
      <c r="H28" s="4"/>
      <c r="I28" s="5" t="s">
        <v>2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2.5" customHeight="1">
      <c r="A29" s="6">
        <v>46003.0</v>
      </c>
      <c r="B29" s="7" t="s">
        <v>50</v>
      </c>
      <c r="C29" s="15"/>
      <c r="D29" s="9" t="s">
        <v>8</v>
      </c>
      <c r="E29" s="10" t="s">
        <v>51</v>
      </c>
      <c r="F29" s="20"/>
      <c r="G29" s="4"/>
      <c r="H29" s="4"/>
      <c r="I29" s="5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2.5" customHeight="1">
      <c r="A30" s="13">
        <v>46003.0</v>
      </c>
      <c r="B30" s="16"/>
      <c r="C30" s="15" t="s">
        <v>52</v>
      </c>
      <c r="D30" s="9" t="s">
        <v>8</v>
      </c>
      <c r="E30" s="20"/>
      <c r="F30" s="20"/>
      <c r="G30" s="4"/>
      <c r="H30" s="4"/>
      <c r="I30" s="5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2.5" customHeight="1">
      <c r="A31" s="6">
        <v>46005.0</v>
      </c>
      <c r="B31" s="7" t="s">
        <v>53</v>
      </c>
      <c r="C31" s="15"/>
      <c r="D31" s="9" t="s">
        <v>8</v>
      </c>
      <c r="E31" s="10" t="s">
        <v>54</v>
      </c>
      <c r="F31" s="11"/>
      <c r="G31" s="4"/>
      <c r="H31" s="4"/>
      <c r="I31" s="21" t="s">
        <v>55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2.5" customHeight="1">
      <c r="A32" s="13">
        <v>46006.0</v>
      </c>
      <c r="B32" s="16"/>
      <c r="C32" s="15" t="s">
        <v>56</v>
      </c>
      <c r="D32" s="9" t="s">
        <v>8</v>
      </c>
      <c r="E32" s="20"/>
      <c r="F32" s="20"/>
      <c r="G32" s="4"/>
      <c r="H32" s="4"/>
      <c r="I32" s="21" t="s">
        <v>57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2.5" customHeight="1">
      <c r="A33" s="13">
        <v>46007.0</v>
      </c>
      <c r="B33" s="14"/>
      <c r="C33" s="15" t="s">
        <v>58</v>
      </c>
      <c r="D33" s="9" t="s">
        <v>8</v>
      </c>
      <c r="E33" s="20"/>
      <c r="F33" s="20"/>
      <c r="G33" s="4"/>
      <c r="H33" s="4"/>
      <c r="I33" s="21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2.5" customHeight="1">
      <c r="A34" s="6">
        <v>46008.0</v>
      </c>
      <c r="B34" s="7" t="s">
        <v>59</v>
      </c>
      <c r="C34" s="8"/>
      <c r="D34" s="9" t="s">
        <v>8</v>
      </c>
      <c r="E34" s="10" t="s">
        <v>60</v>
      </c>
      <c r="F34" s="11"/>
      <c r="G34" s="4"/>
      <c r="H34" s="4"/>
      <c r="I34" s="21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2.5" customHeight="1">
      <c r="A35" s="13">
        <v>46010.0</v>
      </c>
      <c r="B35" s="14"/>
      <c r="C35" s="15" t="s">
        <v>61</v>
      </c>
      <c r="D35" s="9" t="s">
        <v>8</v>
      </c>
      <c r="E35" s="20"/>
      <c r="F35" s="20"/>
      <c r="G35" s="4"/>
      <c r="H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2.5" customHeight="1">
      <c r="A36" s="13">
        <v>46011.0</v>
      </c>
      <c r="B36" s="14"/>
      <c r="C36" s="15" t="s">
        <v>62</v>
      </c>
      <c r="D36" s="9" t="s">
        <v>8</v>
      </c>
      <c r="E36" s="20"/>
      <c r="F36" s="20"/>
      <c r="G36" s="4"/>
      <c r="H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2.5" customHeight="1">
      <c r="A37" s="22">
        <v>46011.0</v>
      </c>
      <c r="B37" s="23" t="s">
        <v>63</v>
      </c>
      <c r="C37" s="17"/>
      <c r="D37" s="9" t="s">
        <v>8</v>
      </c>
      <c r="E37" s="10" t="s">
        <v>64</v>
      </c>
      <c r="F37" s="20"/>
      <c r="G37" s="4"/>
      <c r="H37" s="24" t="s">
        <v>65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2.5" customHeight="1">
      <c r="A38" s="25">
        <v>46012.0</v>
      </c>
      <c r="B38" s="26" t="s">
        <v>66</v>
      </c>
      <c r="C38" s="17" t="s">
        <v>67</v>
      </c>
      <c r="D38" s="9" t="s">
        <v>8</v>
      </c>
      <c r="E38" s="20"/>
      <c r="F38" s="20"/>
      <c r="G38" s="4"/>
      <c r="H38" s="2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2.5" customHeight="1">
      <c r="A39" s="25">
        <v>46014.0</v>
      </c>
      <c r="B39" s="23"/>
      <c r="C39" s="17" t="s">
        <v>68</v>
      </c>
      <c r="D39" s="9" t="s">
        <v>8</v>
      </c>
      <c r="E39" s="20"/>
      <c r="F39" s="20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2.5" customHeight="1">
      <c r="A40" s="25">
        <v>46016.0</v>
      </c>
      <c r="B40" s="23"/>
      <c r="C40" s="17" t="s">
        <v>69</v>
      </c>
      <c r="D40" s="9" t="s">
        <v>8</v>
      </c>
      <c r="E40" s="20"/>
      <c r="F40" s="20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2.5" customHeight="1">
      <c r="A41" s="22">
        <v>46018.0</v>
      </c>
      <c r="B41" s="23" t="s">
        <v>70</v>
      </c>
      <c r="C41" s="17"/>
      <c r="D41" s="9" t="s">
        <v>8</v>
      </c>
      <c r="E41" s="10" t="s">
        <v>71</v>
      </c>
      <c r="F41" s="20"/>
      <c r="G41" s="4"/>
      <c r="H41" s="21" t="s">
        <v>72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2.5" customHeight="1">
      <c r="A42" s="25">
        <v>46019.0</v>
      </c>
      <c r="B42" s="26" t="s">
        <v>66</v>
      </c>
      <c r="C42" s="17" t="s">
        <v>73</v>
      </c>
      <c r="D42" s="27" t="s">
        <v>8</v>
      </c>
      <c r="E42" s="10" t="s">
        <v>74</v>
      </c>
      <c r="F42" s="20"/>
      <c r="G42" s="4"/>
      <c r="H42" s="21" t="s">
        <v>75</v>
      </c>
      <c r="I42" s="21" t="s">
        <v>76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2.5" customHeight="1">
      <c r="A43" s="25">
        <v>46020.0</v>
      </c>
      <c r="B43" s="26" t="s">
        <v>66</v>
      </c>
      <c r="C43" s="17" t="s">
        <v>77</v>
      </c>
      <c r="D43" s="27" t="s">
        <v>8</v>
      </c>
      <c r="E43" s="10" t="s">
        <v>78</v>
      </c>
      <c r="F43" s="20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2.5" customHeight="1">
      <c r="A44" s="25">
        <v>46023.0</v>
      </c>
      <c r="B44" s="28"/>
      <c r="C44" s="17" t="s">
        <v>79</v>
      </c>
      <c r="D44" s="27" t="s">
        <v>8</v>
      </c>
      <c r="E44" s="20"/>
      <c r="F44" s="20"/>
      <c r="G44" s="4"/>
      <c r="H44" s="21" t="s">
        <v>75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2.5" customHeight="1">
      <c r="A45" s="25">
        <v>46024.0</v>
      </c>
      <c r="B45" s="7"/>
      <c r="C45" s="17" t="s">
        <v>80</v>
      </c>
      <c r="D45" s="27" t="s">
        <v>8</v>
      </c>
      <c r="E45" s="20"/>
      <c r="F45" s="20"/>
      <c r="G45" s="4"/>
      <c r="H45" s="21" t="s">
        <v>81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2.5" customHeight="1">
      <c r="A46" s="22">
        <v>46025.0</v>
      </c>
      <c r="B46" s="23" t="s">
        <v>82</v>
      </c>
      <c r="C46" s="17"/>
      <c r="D46" s="9" t="s">
        <v>8</v>
      </c>
      <c r="E46" s="10" t="s">
        <v>83</v>
      </c>
      <c r="F46" s="20"/>
      <c r="G46" s="4"/>
      <c r="H46" s="21"/>
      <c r="I46" s="21" t="s">
        <v>84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2.5" customHeight="1">
      <c r="A47" s="25">
        <v>46028.0</v>
      </c>
      <c r="B47" s="23"/>
      <c r="C47" s="17" t="s">
        <v>85</v>
      </c>
      <c r="D47" s="9" t="s">
        <v>8</v>
      </c>
      <c r="E47" s="20"/>
      <c r="F47" s="20"/>
      <c r="G47" s="4"/>
      <c r="H47" s="21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2.5" customHeight="1">
      <c r="A48" s="25">
        <v>46029.0</v>
      </c>
      <c r="B48" s="23"/>
      <c r="C48" s="17" t="s">
        <v>86</v>
      </c>
      <c r="D48" s="9" t="s">
        <v>8</v>
      </c>
      <c r="E48" s="20"/>
      <c r="F48" s="20"/>
      <c r="G48" s="4"/>
      <c r="H48" s="21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2.5" customHeight="1">
      <c r="A49" s="29"/>
      <c r="B49" s="30"/>
      <c r="C49" s="31" t="s">
        <v>87</v>
      </c>
      <c r="D49" s="32"/>
      <c r="E49" s="33"/>
      <c r="G49" s="4"/>
      <c r="H49" s="21" t="s">
        <v>88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2.5" customHeight="1">
      <c r="A50" s="22">
        <v>46032.0</v>
      </c>
      <c r="B50" s="23" t="s">
        <v>89</v>
      </c>
      <c r="C50" s="17"/>
      <c r="D50" s="27" t="s">
        <v>8</v>
      </c>
      <c r="E50" s="10" t="s">
        <v>90</v>
      </c>
      <c r="F50" s="20"/>
      <c r="G50" s="4"/>
      <c r="H50" s="21" t="s">
        <v>91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2.5" customHeight="1">
      <c r="A51" s="25">
        <v>46035.0</v>
      </c>
      <c r="B51" s="23"/>
      <c r="C51" s="17" t="s">
        <v>92</v>
      </c>
      <c r="D51" s="27" t="s">
        <v>8</v>
      </c>
      <c r="E51" s="20"/>
      <c r="F51" s="20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2.5" customHeight="1">
      <c r="A52" s="34">
        <v>46036.0</v>
      </c>
      <c r="B52" s="35" t="s">
        <v>66</v>
      </c>
      <c r="C52" s="36" t="s">
        <v>93</v>
      </c>
      <c r="D52" s="37"/>
      <c r="E52" s="38"/>
      <c r="F52" s="20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2.5" customHeight="1">
      <c r="A53" s="22">
        <v>46040.0</v>
      </c>
      <c r="B53" s="23" t="s">
        <v>94</v>
      </c>
      <c r="C53" s="17"/>
      <c r="D53" s="27" t="s">
        <v>8</v>
      </c>
      <c r="E53" s="10" t="s">
        <v>95</v>
      </c>
      <c r="F53" s="20"/>
      <c r="G53" s="4"/>
      <c r="H53" s="21" t="s">
        <v>96</v>
      </c>
      <c r="I53" s="21" t="s">
        <v>97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2.5" customHeight="1">
      <c r="A54" s="25">
        <v>46042.0</v>
      </c>
      <c r="B54" s="23"/>
      <c r="C54" s="17" t="s">
        <v>98</v>
      </c>
      <c r="D54" s="27" t="s">
        <v>8</v>
      </c>
      <c r="E54" s="20"/>
      <c r="F54" s="20"/>
      <c r="G54" s="4"/>
      <c r="H54" s="4"/>
      <c r="I54" s="21" t="s">
        <v>99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2.5" customHeight="1">
      <c r="A55" s="22">
        <v>46043.0</v>
      </c>
      <c r="B55" s="7" t="s">
        <v>100</v>
      </c>
      <c r="C55" s="17"/>
      <c r="D55" s="27" t="s">
        <v>8</v>
      </c>
      <c r="E55" s="10" t="s">
        <v>101</v>
      </c>
      <c r="F55" s="20"/>
      <c r="G55" s="4"/>
      <c r="H55" s="21" t="s">
        <v>102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2.5" customHeight="1">
      <c r="A56" s="25">
        <v>46044.0</v>
      </c>
      <c r="B56" s="23"/>
      <c r="C56" s="17" t="s">
        <v>103</v>
      </c>
      <c r="D56" s="27" t="s">
        <v>8</v>
      </c>
      <c r="E56" s="20"/>
      <c r="F56" s="2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2.5" customHeight="1">
      <c r="A57" s="22">
        <v>46045.0</v>
      </c>
      <c r="B57" s="23" t="s">
        <v>104</v>
      </c>
      <c r="C57" s="8"/>
      <c r="D57" s="39" t="s">
        <v>8</v>
      </c>
      <c r="F57" s="20"/>
      <c r="G57" s="4"/>
      <c r="H57" s="21" t="s">
        <v>105</v>
      </c>
      <c r="I57" s="21" t="s">
        <v>99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2.5" customHeight="1">
      <c r="A58" s="22"/>
      <c r="B58" s="23"/>
      <c r="C58" s="8"/>
      <c r="D58" s="40"/>
      <c r="F58" s="20"/>
      <c r="G58" s="4"/>
      <c r="H58" s="21"/>
      <c r="I58" s="21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2.5" customHeight="1">
      <c r="A59" s="22">
        <v>46047.0</v>
      </c>
      <c r="B59" s="23" t="s">
        <v>106</v>
      </c>
      <c r="C59" s="15"/>
      <c r="D59" s="39" t="s">
        <v>8</v>
      </c>
      <c r="E59" s="20"/>
      <c r="F59" s="20"/>
      <c r="G59" s="4"/>
      <c r="H59" s="21" t="s">
        <v>107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2.5" customHeight="1">
      <c r="A60" s="25">
        <v>46048.0</v>
      </c>
      <c r="B60" s="23"/>
      <c r="C60" s="15" t="s">
        <v>108</v>
      </c>
      <c r="D60" s="39" t="s">
        <v>8</v>
      </c>
      <c r="F60" s="20"/>
      <c r="G60" s="4"/>
      <c r="H60" s="21"/>
      <c r="I60" s="21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2.5" customHeight="1">
      <c r="A61" s="25">
        <v>46049.0</v>
      </c>
      <c r="B61" s="28"/>
      <c r="C61" s="15" t="s">
        <v>109</v>
      </c>
      <c r="D61" s="39" t="s">
        <v>8</v>
      </c>
      <c r="E61" s="20"/>
      <c r="F61" s="20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2.5" customHeight="1">
      <c r="A62" s="22">
        <v>46050.0</v>
      </c>
      <c r="B62" s="23" t="s">
        <v>110</v>
      </c>
      <c r="C62" s="17"/>
      <c r="D62" s="27" t="s">
        <v>8</v>
      </c>
      <c r="E62" s="10" t="s">
        <v>111</v>
      </c>
      <c r="F62" s="20"/>
      <c r="G62" s="4"/>
      <c r="H62" s="21" t="s">
        <v>112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2.5" customHeight="1">
      <c r="A63" s="25">
        <v>46051.0</v>
      </c>
      <c r="B63" s="28"/>
      <c r="C63" s="41" t="s">
        <v>113</v>
      </c>
      <c r="D63" s="39" t="s">
        <v>8</v>
      </c>
      <c r="E63" s="20"/>
      <c r="F63" s="20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2.5" customHeight="1">
      <c r="A64" s="25"/>
      <c r="B64" s="42"/>
      <c r="C64" s="43" t="s">
        <v>114</v>
      </c>
      <c r="D64" s="39" t="s">
        <v>115</v>
      </c>
      <c r="E64" s="20"/>
      <c r="F64" s="20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2.5" customHeight="1">
      <c r="A65" s="25">
        <v>46052.0</v>
      </c>
      <c r="B65" s="44" t="s">
        <v>116</v>
      </c>
      <c r="C65" s="15"/>
      <c r="D65" s="39" t="s">
        <v>8</v>
      </c>
      <c r="E65" s="20"/>
      <c r="F65" s="20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2.5" customHeight="1">
      <c r="A66" s="45"/>
      <c r="B66" s="28"/>
      <c r="C66" s="41" t="s">
        <v>117</v>
      </c>
      <c r="D66" s="39" t="s">
        <v>30</v>
      </c>
      <c r="E66" s="20"/>
      <c r="F66" s="20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2.5" customHeight="1">
      <c r="A67" s="25">
        <v>46055.0</v>
      </c>
      <c r="B67" s="23"/>
      <c r="C67" s="41" t="s">
        <v>118</v>
      </c>
      <c r="D67" s="27" t="s">
        <v>8</v>
      </c>
      <c r="E67" s="20"/>
      <c r="F67" s="20"/>
      <c r="G67" s="4"/>
      <c r="H67" s="4"/>
      <c r="I67" s="21" t="s">
        <v>119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2.5" customHeight="1">
      <c r="A68" s="46">
        <v>46053.0</v>
      </c>
      <c r="B68" s="26" t="s">
        <v>120</v>
      </c>
      <c r="D68" s="39" t="s">
        <v>30</v>
      </c>
      <c r="G68" s="4"/>
      <c r="H68" s="21" t="s">
        <v>121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2.5" customHeight="1">
      <c r="A69" s="25">
        <v>46054.0</v>
      </c>
      <c r="C69" s="44" t="s">
        <v>122</v>
      </c>
      <c r="D69" s="39" t="s">
        <v>115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2.5" customHeight="1">
      <c r="A70" s="45"/>
      <c r="C70" s="44" t="s">
        <v>123</v>
      </c>
      <c r="D70" s="39" t="s">
        <v>115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2.5" customHeight="1">
      <c r="A71" s="22">
        <v>46056.0</v>
      </c>
      <c r="B71" s="47" t="s">
        <v>124</v>
      </c>
      <c r="C71" s="17"/>
      <c r="D71" s="27" t="s">
        <v>8</v>
      </c>
      <c r="E71" s="20"/>
      <c r="F71" s="20"/>
      <c r="G71" s="4"/>
      <c r="H71" s="21" t="s">
        <v>125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2.5" customHeight="1">
      <c r="A72" s="25">
        <v>46057.0</v>
      </c>
      <c r="B72" s="23"/>
      <c r="C72" s="41" t="s">
        <v>126</v>
      </c>
      <c r="D72" s="27" t="s">
        <v>8</v>
      </c>
      <c r="E72" s="20"/>
      <c r="F72" s="20"/>
      <c r="G72" s="4"/>
      <c r="H72" s="21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2.5" customHeight="1">
      <c r="A73" s="25">
        <v>46058.0</v>
      </c>
      <c r="B73" s="47"/>
      <c r="C73" s="17" t="s">
        <v>127</v>
      </c>
      <c r="D73" s="27" t="s">
        <v>8</v>
      </c>
      <c r="E73" s="20"/>
      <c r="F73" s="20"/>
      <c r="G73" s="4"/>
      <c r="H73" s="21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2.5" customHeight="1">
      <c r="A74" s="25">
        <v>46059.0</v>
      </c>
      <c r="B74" s="47"/>
      <c r="C74" s="17"/>
      <c r="D74" s="48"/>
      <c r="E74" s="20"/>
      <c r="F74" s="20"/>
      <c r="G74" s="4"/>
      <c r="H74" s="21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2.5" customHeight="1">
      <c r="A75" s="22">
        <v>46060.0</v>
      </c>
      <c r="B75" s="23" t="s">
        <v>128</v>
      </c>
      <c r="D75" s="27" t="s">
        <v>8</v>
      </c>
      <c r="E75" s="20"/>
      <c r="F75" s="20"/>
      <c r="G75" s="4"/>
      <c r="H75" s="21" t="s">
        <v>129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2.5" customHeight="1">
      <c r="A76" s="25">
        <v>46062.0</v>
      </c>
      <c r="B76" s="28"/>
      <c r="C76" s="17" t="s">
        <v>130</v>
      </c>
      <c r="D76" s="27" t="s">
        <v>8</v>
      </c>
      <c r="E76" s="20"/>
      <c r="F76" s="20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2.5" customHeight="1">
      <c r="A77" s="25">
        <v>46063.0</v>
      </c>
      <c r="B77" s="28"/>
      <c r="C77" s="17" t="s">
        <v>131</v>
      </c>
      <c r="D77" s="27" t="s">
        <v>115</v>
      </c>
      <c r="E77" s="20"/>
      <c r="F77" s="20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2.5" customHeight="1">
      <c r="A78" s="22">
        <v>46065.0</v>
      </c>
      <c r="B78" s="23" t="s">
        <v>132</v>
      </c>
      <c r="C78" s="17"/>
      <c r="D78" s="27" t="s">
        <v>8</v>
      </c>
      <c r="E78" s="20"/>
      <c r="F78" s="20"/>
      <c r="G78" s="4"/>
      <c r="H78" s="21" t="s">
        <v>133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2.5" customHeight="1">
      <c r="A79" s="25">
        <v>46068.0</v>
      </c>
      <c r="B79" s="28"/>
      <c r="C79" s="17" t="s">
        <v>134</v>
      </c>
      <c r="D79" s="27" t="s">
        <v>8</v>
      </c>
      <c r="E79" s="20"/>
      <c r="F79" s="20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2.5" customHeight="1">
      <c r="A80" s="25">
        <v>46069.0</v>
      </c>
      <c r="B80" s="28"/>
      <c r="C80" s="17" t="s">
        <v>135</v>
      </c>
      <c r="D80" s="27" t="s">
        <v>115</v>
      </c>
      <c r="E80" s="20"/>
      <c r="F80" s="20"/>
      <c r="G80" s="4"/>
      <c r="H80" s="21" t="s">
        <v>136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2.5" customHeight="1">
      <c r="A81" s="22">
        <v>46070.0</v>
      </c>
      <c r="B81" s="23" t="s">
        <v>137</v>
      </c>
      <c r="C81" s="17"/>
      <c r="D81" s="27" t="s">
        <v>8</v>
      </c>
      <c r="E81" s="20"/>
      <c r="F81" s="20"/>
      <c r="G81" s="4"/>
      <c r="H81" s="21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2.5" customHeight="1">
      <c r="A82" s="22">
        <v>46072.0</v>
      </c>
      <c r="B82" s="23" t="s">
        <v>138</v>
      </c>
      <c r="C82" s="17"/>
      <c r="D82" s="27" t="s">
        <v>8</v>
      </c>
      <c r="E82" s="20"/>
      <c r="F82" s="20"/>
      <c r="G82" s="4"/>
      <c r="H82" s="21" t="s">
        <v>139</v>
      </c>
      <c r="I82" s="21" t="s">
        <v>140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2.5" customHeight="1">
      <c r="A83" s="25">
        <v>46073.0</v>
      </c>
      <c r="B83" s="28"/>
      <c r="D83" s="27" t="s">
        <v>30</v>
      </c>
      <c r="E83" s="20"/>
      <c r="F83" s="20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2.5" customHeight="1">
      <c r="A84" s="25">
        <v>46074.0</v>
      </c>
      <c r="B84" s="28"/>
      <c r="C84" s="17" t="s">
        <v>141</v>
      </c>
      <c r="D84" s="27" t="s">
        <v>8</v>
      </c>
      <c r="E84" s="20"/>
      <c r="F84" s="20"/>
      <c r="G84" s="4"/>
      <c r="H84" s="4"/>
      <c r="I84" s="4"/>
      <c r="J84" s="4"/>
      <c r="K84" s="4"/>
      <c r="O84" s="49">
        <f>20*8</f>
        <v>160</v>
      </c>
      <c r="T84" s="4"/>
      <c r="U84" s="4"/>
      <c r="V84" s="4"/>
      <c r="W84" s="4"/>
      <c r="X84" s="4"/>
      <c r="Y84" s="4"/>
      <c r="Z84" s="4"/>
    </row>
    <row r="85" ht="22.5" customHeight="1">
      <c r="A85" s="22">
        <v>46075.0</v>
      </c>
      <c r="B85" s="26" t="s">
        <v>120</v>
      </c>
      <c r="D85" s="39" t="s">
        <v>8</v>
      </c>
      <c r="E85" s="20"/>
      <c r="F85" s="20"/>
      <c r="G85" s="4"/>
      <c r="H85" s="21"/>
      <c r="I85" s="21" t="s">
        <v>142</v>
      </c>
      <c r="J85" s="4"/>
      <c r="K85" s="4"/>
      <c r="M85" s="50" t="s">
        <v>143</v>
      </c>
      <c r="N85" s="51">
        <v>144.0</v>
      </c>
      <c r="T85" s="4"/>
      <c r="U85" s="4"/>
      <c r="V85" s="4"/>
      <c r="W85" s="4"/>
      <c r="X85" s="4"/>
      <c r="Y85" s="4"/>
      <c r="Z85" s="4"/>
    </row>
    <row r="86" ht="22.5" customHeight="1">
      <c r="A86" s="25">
        <v>46076.0</v>
      </c>
      <c r="C86" s="17" t="s">
        <v>122</v>
      </c>
      <c r="D86" s="39" t="s">
        <v>8</v>
      </c>
      <c r="E86" s="20"/>
      <c r="F86" s="20"/>
      <c r="G86" s="4"/>
      <c r="H86" s="21"/>
      <c r="I86" s="4"/>
      <c r="J86" s="4"/>
      <c r="K86" s="4"/>
      <c r="M86" s="50" t="s">
        <v>144</v>
      </c>
      <c r="N86" s="51">
        <v>150.0</v>
      </c>
      <c r="P86" s="49">
        <f>N86/8</f>
        <v>18.75</v>
      </c>
      <c r="T86" s="4"/>
      <c r="U86" s="4"/>
      <c r="V86" s="4"/>
      <c r="W86" s="4"/>
      <c r="X86" s="4"/>
      <c r="Y86" s="4"/>
      <c r="Z86" s="4"/>
    </row>
    <row r="87" ht="22.5" customHeight="1">
      <c r="A87" s="25">
        <v>46077.0</v>
      </c>
      <c r="C87" s="17" t="s">
        <v>123</v>
      </c>
      <c r="D87" s="39" t="s">
        <v>8</v>
      </c>
      <c r="E87" s="20"/>
      <c r="F87" s="20"/>
      <c r="G87" s="4"/>
      <c r="H87" s="21"/>
      <c r="I87" s="4"/>
      <c r="J87" s="4"/>
      <c r="K87" s="4"/>
      <c r="M87" s="50" t="s">
        <v>145</v>
      </c>
      <c r="N87" s="51">
        <v>330.0</v>
      </c>
      <c r="P87" s="50" t="s">
        <v>146</v>
      </c>
      <c r="T87" s="4"/>
      <c r="U87" s="4"/>
      <c r="V87" s="4"/>
      <c r="W87" s="4"/>
      <c r="X87" s="4"/>
      <c r="Y87" s="4"/>
      <c r="Z87" s="4"/>
    </row>
    <row r="88" ht="22.5" customHeight="1">
      <c r="A88" s="25">
        <v>46078.0</v>
      </c>
      <c r="C88" s="17" t="s">
        <v>147</v>
      </c>
      <c r="D88" s="27" t="s">
        <v>8</v>
      </c>
      <c r="E88" s="10" t="s">
        <v>148</v>
      </c>
      <c r="F88" s="20"/>
      <c r="G88" s="4"/>
      <c r="H88" s="21" t="s">
        <v>149</v>
      </c>
      <c r="I88" s="21" t="s">
        <v>142</v>
      </c>
      <c r="J88" s="4"/>
      <c r="K88" s="4"/>
      <c r="N88" s="50">
        <v>625.0</v>
      </c>
      <c r="R88" s="50">
        <f>8*30</f>
        <v>240</v>
      </c>
      <c r="T88" s="4"/>
      <c r="U88" s="4"/>
      <c r="V88" s="4"/>
      <c r="W88" s="4"/>
      <c r="X88" s="4"/>
      <c r="Y88" s="4"/>
      <c r="Z88" s="4"/>
    </row>
    <row r="89" ht="22.5" customHeight="1">
      <c r="A89" s="22">
        <v>46079.0</v>
      </c>
      <c r="B89" s="23" t="s">
        <v>150</v>
      </c>
      <c r="D89" s="27" t="s">
        <v>8</v>
      </c>
      <c r="E89" s="20"/>
      <c r="F89" s="20"/>
      <c r="G89" s="4"/>
      <c r="H89" s="4"/>
      <c r="I89" s="4"/>
      <c r="J89" s="4"/>
      <c r="K89" s="4"/>
      <c r="R89" s="50">
        <f>330-R88</f>
        <v>90</v>
      </c>
      <c r="S89" s="49">
        <f>R89/16</f>
        <v>5.625</v>
      </c>
      <c r="T89" s="4"/>
      <c r="U89" s="4"/>
      <c r="V89" s="4"/>
      <c r="W89" s="4"/>
      <c r="X89" s="4"/>
      <c r="Y89" s="4"/>
      <c r="Z89" s="4"/>
    </row>
    <row r="90" ht="22.5" customHeight="1">
      <c r="A90" s="25">
        <v>46080.0</v>
      </c>
      <c r="B90" s="23"/>
      <c r="C90" s="17" t="s">
        <v>151</v>
      </c>
      <c r="D90" s="27" t="s">
        <v>30</v>
      </c>
      <c r="E90" s="20"/>
      <c r="F90" s="20"/>
      <c r="G90" s="4"/>
      <c r="H90" s="4"/>
      <c r="I90" s="4"/>
      <c r="J90" s="4"/>
      <c r="K90" s="4"/>
      <c r="T90" s="4"/>
      <c r="U90" s="4"/>
      <c r="V90" s="4"/>
      <c r="W90" s="4"/>
      <c r="X90" s="4"/>
      <c r="Y90" s="4"/>
      <c r="Z90" s="4"/>
    </row>
    <row r="91" ht="22.5" customHeight="1">
      <c r="A91" s="22">
        <v>46081.0</v>
      </c>
      <c r="B91" s="23" t="s">
        <v>152</v>
      </c>
      <c r="C91" s="17"/>
      <c r="D91" s="27" t="s">
        <v>8</v>
      </c>
      <c r="E91" s="10" t="s">
        <v>153</v>
      </c>
      <c r="F91" s="20"/>
      <c r="G91" s="4"/>
      <c r="H91" s="21" t="s">
        <v>154</v>
      </c>
      <c r="I91" s="21" t="s">
        <v>155</v>
      </c>
      <c r="J91" s="4"/>
      <c r="K91" s="4"/>
      <c r="L91" s="52">
        <v>57178.0</v>
      </c>
      <c r="T91" s="4"/>
      <c r="U91" s="4"/>
      <c r="V91" s="4"/>
      <c r="W91" s="4"/>
      <c r="X91" s="4"/>
      <c r="Y91" s="4"/>
      <c r="Z91" s="4"/>
    </row>
    <row r="92" ht="22.5" customHeight="1">
      <c r="A92" s="25">
        <v>46083.0</v>
      </c>
      <c r="C92" s="41" t="s">
        <v>156</v>
      </c>
      <c r="D92" s="27" t="s">
        <v>8</v>
      </c>
      <c r="E92" s="20"/>
      <c r="F92" s="20"/>
      <c r="G92" s="4"/>
      <c r="H92" s="4"/>
      <c r="I92" s="4"/>
      <c r="J92" s="4"/>
      <c r="K92" s="4"/>
      <c r="L92" s="53">
        <f>L91+80000</f>
        <v>137178</v>
      </c>
      <c r="R92" s="50">
        <f>32*8</f>
        <v>256</v>
      </c>
      <c r="S92" s="49">
        <f>330-R92</f>
        <v>74</v>
      </c>
      <c r="T92" s="4"/>
      <c r="U92" s="4"/>
      <c r="V92" s="4"/>
      <c r="W92" s="4"/>
      <c r="X92" s="4"/>
      <c r="Y92" s="4"/>
      <c r="Z92" s="4"/>
    </row>
    <row r="93" ht="22.5" customHeight="1">
      <c r="A93" s="25"/>
      <c r="C93" s="41" t="s">
        <v>157</v>
      </c>
      <c r="D93" s="27" t="s">
        <v>115</v>
      </c>
      <c r="E93" s="20"/>
      <c r="F93" s="20"/>
      <c r="G93" s="4"/>
      <c r="H93" s="4"/>
      <c r="I93" s="4">
        <f>50+15+5+10</f>
        <v>80</v>
      </c>
      <c r="J93" s="4"/>
      <c r="K93" s="4"/>
      <c r="O93" s="49">
        <f>330/8</f>
        <v>41.25</v>
      </c>
      <c r="S93" s="49">
        <f>S92/16</f>
        <v>4.625</v>
      </c>
      <c r="T93" s="4"/>
      <c r="U93" s="4"/>
      <c r="V93" s="4"/>
      <c r="W93" s="4"/>
      <c r="X93" s="4"/>
      <c r="Y93" s="4"/>
      <c r="Z93" s="4"/>
    </row>
    <row r="94" ht="22.5" customHeight="1">
      <c r="A94" s="22">
        <v>46085.0</v>
      </c>
      <c r="B94" s="23" t="s">
        <v>158</v>
      </c>
      <c r="C94" s="17"/>
      <c r="D94" s="27" t="s">
        <v>8</v>
      </c>
      <c r="E94" s="20"/>
      <c r="F94" s="20"/>
      <c r="G94" s="4"/>
      <c r="H94" s="21"/>
      <c r="I94" s="4"/>
      <c r="J94" s="4"/>
      <c r="K94" s="4"/>
      <c r="T94" s="4"/>
      <c r="U94" s="4"/>
      <c r="V94" s="4"/>
      <c r="W94" s="4"/>
      <c r="X94" s="4"/>
      <c r="Y94" s="4"/>
      <c r="Z94" s="4"/>
    </row>
    <row r="95" ht="22.5" customHeight="1">
      <c r="A95" s="25">
        <v>46086.0</v>
      </c>
      <c r="C95" s="41" t="s">
        <v>159</v>
      </c>
      <c r="D95" s="27" t="s">
        <v>8</v>
      </c>
      <c r="E95" s="20"/>
      <c r="F95" s="20"/>
      <c r="G95" s="4"/>
      <c r="H95" s="4"/>
      <c r="I95" s="4"/>
      <c r="J95" s="4"/>
      <c r="K95" s="4"/>
      <c r="T95" s="4"/>
      <c r="U95" s="4"/>
      <c r="V95" s="4"/>
      <c r="W95" s="4"/>
      <c r="X95" s="4"/>
      <c r="Y95" s="4"/>
      <c r="Z95" s="4"/>
    </row>
    <row r="96" ht="22.5" customHeight="1">
      <c r="A96" s="25">
        <v>46087.0</v>
      </c>
      <c r="C96" s="41" t="s">
        <v>160</v>
      </c>
      <c r="D96" s="27" t="s">
        <v>8</v>
      </c>
      <c r="E96" s="20"/>
      <c r="F96" s="20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2.5" customHeight="1">
      <c r="A97" s="22">
        <v>46088.0</v>
      </c>
      <c r="B97" s="23" t="s">
        <v>161</v>
      </c>
      <c r="C97" s="17"/>
      <c r="D97" s="27" t="s">
        <v>8</v>
      </c>
      <c r="E97" s="20"/>
      <c r="F97" s="20"/>
      <c r="G97" s="4"/>
      <c r="H97" s="21" t="s">
        <v>162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2.5" customHeight="1">
      <c r="A98" s="25">
        <v>46090.0</v>
      </c>
      <c r="C98" s="41" t="s">
        <v>163</v>
      </c>
      <c r="D98" s="27" t="s">
        <v>115</v>
      </c>
      <c r="E98" s="20"/>
      <c r="F98" s="20"/>
    </row>
    <row r="99" ht="22.5" customHeight="1">
      <c r="A99" s="25">
        <v>46091.0</v>
      </c>
      <c r="C99" s="17" t="s">
        <v>164</v>
      </c>
      <c r="D99" s="27" t="s">
        <v>8</v>
      </c>
      <c r="E99" s="20"/>
      <c r="F99" s="20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2.5" customHeight="1">
      <c r="A100" s="22">
        <v>46092.0</v>
      </c>
      <c r="B100" s="23" t="s">
        <v>165</v>
      </c>
      <c r="C100" s="17"/>
      <c r="D100" s="27" t="s">
        <v>8</v>
      </c>
      <c r="E100" s="20"/>
      <c r="F100" s="20"/>
      <c r="G100" s="4"/>
      <c r="H100" s="21" t="s">
        <v>166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2.5" customHeight="1">
      <c r="A101" s="25">
        <v>46093.0</v>
      </c>
      <c r="C101" s="17" t="s">
        <v>167</v>
      </c>
      <c r="D101" s="27" t="s">
        <v>8</v>
      </c>
      <c r="E101" s="20"/>
      <c r="F101" s="20"/>
      <c r="G101" s="4"/>
      <c r="H101" s="4"/>
      <c r="I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2.5" customHeight="1">
      <c r="A102" s="25">
        <v>46090.0</v>
      </c>
      <c r="C102" s="41" t="s">
        <v>168</v>
      </c>
      <c r="D102" s="27" t="s">
        <v>8</v>
      </c>
      <c r="E102" s="20"/>
      <c r="F102" s="20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2.5" customHeight="1">
      <c r="A103" s="22">
        <v>46095.0</v>
      </c>
      <c r="B103" s="23" t="s">
        <v>169</v>
      </c>
      <c r="C103" s="17"/>
      <c r="D103" s="27" t="s">
        <v>8</v>
      </c>
      <c r="E103" s="20"/>
      <c r="F103" s="20"/>
      <c r="G103" s="4"/>
      <c r="H103" s="21" t="s">
        <v>170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2.5" customHeight="1">
      <c r="A104" s="25">
        <v>46098.0</v>
      </c>
      <c r="B104" s="28"/>
      <c r="C104" s="17" t="s">
        <v>171</v>
      </c>
      <c r="D104" s="27" t="s">
        <v>8</v>
      </c>
      <c r="E104" s="20"/>
      <c r="F104" s="20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2.5" customHeight="1">
      <c r="A105" s="22">
        <v>46099.0</v>
      </c>
      <c r="B105" s="7" t="s">
        <v>172</v>
      </c>
      <c r="C105" s="17"/>
      <c r="D105" s="27" t="s">
        <v>8</v>
      </c>
      <c r="E105" s="20"/>
      <c r="F105" s="20"/>
      <c r="G105" s="4"/>
      <c r="H105" s="4"/>
      <c r="I105" s="21" t="s">
        <v>173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2.5" customHeight="1">
      <c r="A106" s="25">
        <v>46100.0</v>
      </c>
      <c r="B106" s="28"/>
      <c r="C106" s="17" t="s">
        <v>174</v>
      </c>
      <c r="D106" s="27" t="s">
        <v>8</v>
      </c>
      <c r="E106" s="20"/>
      <c r="F106" s="20"/>
      <c r="G106" s="4"/>
      <c r="H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2.5" customHeight="1">
      <c r="A107" s="25">
        <v>46101.0</v>
      </c>
      <c r="B107" s="28"/>
      <c r="C107" s="17" t="s">
        <v>175</v>
      </c>
      <c r="D107" s="27" t="s">
        <v>8</v>
      </c>
      <c r="E107" s="20"/>
      <c r="F107" s="20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2.5" customHeight="1">
      <c r="A108" s="22">
        <v>46103.0</v>
      </c>
      <c r="B108" s="23" t="s">
        <v>176</v>
      </c>
      <c r="C108" s="17"/>
      <c r="D108" s="27" t="s">
        <v>8</v>
      </c>
      <c r="E108" s="20"/>
      <c r="F108" s="20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2.5" customHeight="1">
      <c r="A109" s="25">
        <v>46104.0</v>
      </c>
      <c r="B109" s="28"/>
      <c r="C109" s="17" t="s">
        <v>177</v>
      </c>
      <c r="D109" s="27" t="s">
        <v>8</v>
      </c>
      <c r="E109" s="20"/>
      <c r="F109" s="20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2.5" customHeight="1">
      <c r="A110" s="25">
        <v>46105.0</v>
      </c>
      <c r="C110" s="17" t="s">
        <v>178</v>
      </c>
      <c r="D110" s="27" t="s">
        <v>8</v>
      </c>
      <c r="E110" s="20"/>
      <c r="F110" s="20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2.5" customHeight="1">
      <c r="A111" s="22">
        <v>46106.0</v>
      </c>
      <c r="B111" s="23" t="s">
        <v>179</v>
      </c>
      <c r="C111" s="17"/>
      <c r="D111" s="27" t="s">
        <v>8</v>
      </c>
      <c r="E111" s="20"/>
      <c r="F111" s="20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2.5" customHeight="1">
      <c r="A112" s="25">
        <v>46107.0</v>
      </c>
      <c r="B112" s="28"/>
      <c r="C112" s="17" t="s">
        <v>180</v>
      </c>
      <c r="D112" s="27" t="s">
        <v>8</v>
      </c>
      <c r="E112" s="20"/>
      <c r="F112" s="20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2.5" customHeight="1">
      <c r="A113" s="25">
        <v>46108.0</v>
      </c>
      <c r="B113" s="28"/>
      <c r="C113" s="44" t="s">
        <v>181</v>
      </c>
      <c r="D113" s="27" t="s">
        <v>8</v>
      </c>
      <c r="E113" s="20"/>
      <c r="F113" s="20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2.5" customHeight="1">
      <c r="A114" s="22">
        <v>46109.0</v>
      </c>
      <c r="B114" s="7" t="s">
        <v>182</v>
      </c>
      <c r="C114" s="17"/>
      <c r="D114" s="27" t="s">
        <v>115</v>
      </c>
      <c r="E114" s="20"/>
      <c r="F114" s="20"/>
      <c r="G114" s="4"/>
      <c r="H114" s="21" t="s">
        <v>183</v>
      </c>
      <c r="I114" s="21"/>
      <c r="J114" s="21"/>
      <c r="K114" s="21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2.5" customHeight="1">
      <c r="A115" s="25">
        <v>46110.0</v>
      </c>
      <c r="B115" s="7"/>
      <c r="C115" s="17" t="s">
        <v>184</v>
      </c>
      <c r="D115" s="27" t="s">
        <v>115</v>
      </c>
      <c r="E115" s="20"/>
      <c r="F115" s="20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2.5" customHeight="1">
      <c r="A116" s="25">
        <v>46111.0</v>
      </c>
      <c r="B116" s="7"/>
      <c r="C116" s="17" t="s">
        <v>185</v>
      </c>
      <c r="D116" s="27" t="s">
        <v>115</v>
      </c>
      <c r="E116" s="20"/>
      <c r="F116" s="20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2.5" customHeight="1">
      <c r="A117" s="25">
        <v>46112.0</v>
      </c>
      <c r="B117" s="7"/>
      <c r="C117" s="17" t="s">
        <v>186</v>
      </c>
      <c r="D117" s="48"/>
      <c r="E117" s="20"/>
      <c r="F117" s="20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2.5" customHeight="1">
      <c r="A118" s="22">
        <v>46113.0</v>
      </c>
      <c r="B118" s="7" t="s">
        <v>187</v>
      </c>
      <c r="C118" s="17"/>
      <c r="D118" s="27" t="s">
        <v>115</v>
      </c>
      <c r="E118" s="17" t="s">
        <v>188</v>
      </c>
      <c r="F118" s="20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2.5" customHeight="1">
      <c r="A119" s="25"/>
      <c r="B119" s="7"/>
      <c r="C119" s="41" t="s">
        <v>189</v>
      </c>
      <c r="D119" s="48"/>
      <c r="E119" s="20"/>
      <c r="F119" s="20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2.5" customHeight="1">
      <c r="A120" s="25"/>
      <c r="B120" s="7"/>
      <c r="C120" s="17" t="s">
        <v>190</v>
      </c>
      <c r="D120" s="48"/>
      <c r="E120" s="20"/>
      <c r="F120" s="20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2.5" customHeight="1">
      <c r="A121" s="22">
        <v>46116.0</v>
      </c>
      <c r="B121" s="7" t="s">
        <v>191</v>
      </c>
      <c r="C121" s="17"/>
      <c r="D121" s="27" t="s">
        <v>115</v>
      </c>
      <c r="E121" s="17" t="s">
        <v>192</v>
      </c>
      <c r="F121" s="20"/>
      <c r="G121" s="4"/>
      <c r="H121" s="21" t="s">
        <v>193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2.5" customHeight="1">
      <c r="A122" s="22"/>
      <c r="C122" s="17"/>
      <c r="D122" s="48"/>
      <c r="E122" s="20"/>
      <c r="F122" s="20"/>
      <c r="G122" s="4"/>
      <c r="H122" s="21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2.5" customHeight="1">
      <c r="A123" s="22"/>
      <c r="B123" s="7"/>
      <c r="C123" s="17"/>
      <c r="D123" s="48"/>
      <c r="E123" s="20"/>
      <c r="F123" s="20"/>
      <c r="G123" s="4"/>
      <c r="H123" s="21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2.5" customHeight="1">
      <c r="A124" s="22">
        <v>46120.0</v>
      </c>
      <c r="B124" s="7" t="s">
        <v>194</v>
      </c>
      <c r="C124" s="17"/>
      <c r="D124" s="48"/>
      <c r="E124" s="17" t="s">
        <v>195</v>
      </c>
      <c r="F124" s="20"/>
      <c r="G124" s="4"/>
      <c r="H124" s="21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2.5" customHeight="1">
      <c r="A125" s="22"/>
      <c r="B125" s="7"/>
      <c r="C125" s="17"/>
      <c r="D125" s="48"/>
      <c r="E125" s="20"/>
      <c r="F125" s="20"/>
      <c r="G125" s="4"/>
      <c r="H125" s="21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2.5" customHeight="1">
      <c r="A126" s="22"/>
      <c r="B126" s="7"/>
      <c r="C126" s="17"/>
      <c r="D126" s="48"/>
      <c r="E126" s="20"/>
      <c r="F126" s="20"/>
      <c r="G126" s="4"/>
      <c r="H126" s="21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2.5" customHeight="1">
      <c r="A127" s="22">
        <v>46123.0</v>
      </c>
      <c r="B127" s="7" t="s">
        <v>196</v>
      </c>
      <c r="C127" s="17"/>
      <c r="D127" s="48"/>
      <c r="E127" s="17" t="s">
        <v>197</v>
      </c>
      <c r="F127" s="20"/>
      <c r="G127" s="4"/>
      <c r="H127" s="21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2.5" customHeight="1">
      <c r="A128" s="22"/>
      <c r="B128" s="7"/>
      <c r="C128" s="17"/>
      <c r="D128" s="48"/>
      <c r="E128" s="17"/>
      <c r="F128" s="20"/>
      <c r="G128" s="4"/>
      <c r="H128" s="21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2.5" customHeight="1">
      <c r="A129" s="22"/>
      <c r="B129" s="7"/>
      <c r="C129" s="17"/>
      <c r="D129" s="48"/>
      <c r="E129" s="17"/>
      <c r="F129" s="20"/>
      <c r="G129" s="4"/>
      <c r="H129" s="21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2.5" customHeight="1">
      <c r="A130" s="22">
        <v>46127.0</v>
      </c>
      <c r="B130" s="7"/>
      <c r="C130" s="17"/>
      <c r="D130" s="48"/>
      <c r="E130" s="17" t="s">
        <v>198</v>
      </c>
      <c r="F130" s="20"/>
      <c r="G130" s="4"/>
      <c r="H130" s="21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2.5" customHeight="1">
      <c r="A131" s="22"/>
      <c r="B131" s="7"/>
      <c r="C131" s="17"/>
      <c r="D131" s="48"/>
      <c r="E131" s="17"/>
      <c r="F131" s="20"/>
      <c r="G131" s="4"/>
      <c r="H131" s="21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2.5" customHeight="1">
      <c r="A132" s="22"/>
      <c r="B132" s="7"/>
      <c r="C132" s="17"/>
      <c r="D132" s="48"/>
      <c r="E132" s="20"/>
      <c r="F132" s="20"/>
      <c r="G132" s="4"/>
      <c r="H132" s="21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54"/>
      <c r="C133" s="4"/>
      <c r="D133" s="4"/>
      <c r="E133" s="4"/>
      <c r="F133" s="4"/>
      <c r="G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12" t="s">
        <v>199</v>
      </c>
      <c r="C134" s="21" t="s">
        <v>200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55" t="s">
        <v>201</v>
      </c>
      <c r="C135" s="4"/>
      <c r="D135" s="4"/>
      <c r="F135" s="4"/>
      <c r="G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21" t="s">
        <v>202</v>
      </c>
      <c r="B136" s="54"/>
      <c r="C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56" t="s">
        <v>203</v>
      </c>
      <c r="C137" s="4"/>
      <c r="D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5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C139" s="2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57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5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58" t="s">
        <v>204</v>
      </c>
      <c r="C142" s="5" t="s">
        <v>205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54"/>
      <c r="C143" s="21" t="s">
        <v>206</v>
      </c>
      <c r="D143" s="21" t="s">
        <v>207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54"/>
      <c r="C144" s="21" t="s">
        <v>208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5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5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54"/>
      <c r="C147" s="4"/>
      <c r="D147" s="4"/>
      <c r="E147" s="4"/>
      <c r="F147" s="4"/>
      <c r="G147" s="4"/>
      <c r="H147" s="4"/>
      <c r="I147" s="21">
        <v>28.0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54"/>
      <c r="C148" s="4"/>
      <c r="D148" s="4"/>
      <c r="E148" s="4"/>
      <c r="F148" s="4"/>
      <c r="G148" s="4"/>
      <c r="H148" s="4"/>
      <c r="I148" s="21">
        <v>9.0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54"/>
      <c r="C149" s="4"/>
      <c r="D149" s="4"/>
      <c r="E149" s="4"/>
      <c r="F149" s="4"/>
      <c r="G149" s="4"/>
      <c r="H149" s="4"/>
      <c r="I149" s="4">
        <f>sum(I147:I148)</f>
        <v>37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5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5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5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5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5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5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5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5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5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5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5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5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5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5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5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5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5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5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5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5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5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5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5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5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5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5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5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5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5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5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5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5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5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5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5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5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5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5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5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5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5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5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5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5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5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5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5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5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5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5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5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5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5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5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5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5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5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5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5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5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5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5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5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5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5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5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5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5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5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5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5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5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5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5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5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5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5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5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5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5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5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5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5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5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5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5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5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5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5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5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5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5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5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5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5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5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5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5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5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5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5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5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5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5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5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5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5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5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5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5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5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5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5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5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5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5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5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5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5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5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5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5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5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5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5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5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5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5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5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5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5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5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5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5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5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5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5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5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5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5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5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5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5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5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5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5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5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5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5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5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5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5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5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5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5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5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5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5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5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5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5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5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5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5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5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5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5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5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5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5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5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5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5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5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5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5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5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5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5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5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5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5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5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5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5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5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5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5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5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5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5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5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5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5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5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5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5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5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5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5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5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5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5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5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5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5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5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5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5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5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5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5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5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5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5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5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5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5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5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5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5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5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5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5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5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5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5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5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5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5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5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5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5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5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5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5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5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5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5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5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5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5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5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5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5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5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5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5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5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5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5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5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5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5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5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5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5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5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5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5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5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5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5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5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5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5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5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5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5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5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5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5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5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5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5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5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5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5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5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5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5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5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5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5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5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5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5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5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5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5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5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5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5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5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5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5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5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5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5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5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5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5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5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5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5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5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5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5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5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5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5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5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5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5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5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5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5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5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5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5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5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5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5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5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5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5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5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5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5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5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5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5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5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5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5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5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5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5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5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5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5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5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5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5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5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5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5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5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5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5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5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5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5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5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5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5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5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5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5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5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5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5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5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5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5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5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5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5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5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5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5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5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5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5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5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5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5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5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5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5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5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5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5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5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5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5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5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5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5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5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5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5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5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5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5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5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5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5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5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5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5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5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5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5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5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5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5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5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5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5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5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5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5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5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5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5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5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5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5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5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5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5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5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5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5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5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5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5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5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5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5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5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5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5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5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5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5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5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5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5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5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5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5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5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5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5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5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5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5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5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5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5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5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5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5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5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5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5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5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5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5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5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5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5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5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5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5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5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5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5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5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5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5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5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5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5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5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5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5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5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5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5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5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5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5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5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5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5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5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5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5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5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5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5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5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5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5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5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5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5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5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5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5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5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5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5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5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5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5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5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5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5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5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5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5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5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5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5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5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5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5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5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5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5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5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5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5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5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5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5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5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5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5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5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5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5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5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5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5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5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5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5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5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5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5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5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5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5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5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5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5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5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5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5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5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5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5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5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5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5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5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5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5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5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5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5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5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5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5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5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5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5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5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5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5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5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5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5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5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5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5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5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5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5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5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5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5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5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5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5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5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5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5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5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5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5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5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5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5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5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5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5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5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5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5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5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5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5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5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5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5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5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5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5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5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5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5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5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5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5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5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5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5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5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5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5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5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5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5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5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5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5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5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5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5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5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5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5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5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5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5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5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5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5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5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5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5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5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5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5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5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5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5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5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5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5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5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5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5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5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5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5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5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5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5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5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5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5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5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5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5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5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5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5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5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5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5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5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5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5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5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5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5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5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5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5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5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5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5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5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5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5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5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5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5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5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5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5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5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5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5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5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5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5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5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5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5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5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5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5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5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5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5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5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5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5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5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5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5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5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5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5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5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5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5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5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5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5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5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5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5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5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5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5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5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5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5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5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5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5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5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5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5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5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5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5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5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5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5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5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5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5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5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5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5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5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5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5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5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5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5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5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5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5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5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5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5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5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5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5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5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5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5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5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5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5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5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5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5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5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5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5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5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5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5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5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5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5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5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5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5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5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5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5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5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5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5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5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5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5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5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5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5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5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5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5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5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5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5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5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5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5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5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5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5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5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5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5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5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5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5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5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5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5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5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5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5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5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5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5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5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5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5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5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5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5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5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5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5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5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5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5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5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5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5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5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5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5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5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5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5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5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5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5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5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5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5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5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5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5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5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5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5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5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5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5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5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5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5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5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5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5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5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5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5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5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5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5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5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5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5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5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5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5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5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5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5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5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5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5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5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5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5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5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5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5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5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5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5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5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5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5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5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5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5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5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5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5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5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5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5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5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/>
      <c r="B1062" s="5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/>
      <c r="B1063" s="5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/>
      <c r="B1064" s="5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/>
      <c r="B1065" s="5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/>
      <c r="B1066" s="5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/>
      <c r="B1067" s="5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/>
      <c r="B1068" s="5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/>
      <c r="B1069" s="5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/>
      <c r="B1070" s="5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/>
      <c r="B1071" s="5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/>
      <c r="B1072" s="5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4"/>
      <c r="B1073" s="5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4"/>
      <c r="B1074" s="5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4"/>
      <c r="B1075" s="5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4"/>
      <c r="B1076" s="5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4"/>
      <c r="B1077" s="5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4"/>
      <c r="B1078" s="5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4"/>
      <c r="B1079" s="5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4"/>
      <c r="B1080" s="5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4"/>
      <c r="B1081" s="5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4"/>
      <c r="B1082" s="5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4"/>
      <c r="B1083" s="5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</sheetData>
  <dataValidations>
    <dataValidation type="custom" allowBlank="1" showDropDown="1" sqref="A2:A132">
      <formula1>OR(NOT(ISERROR(DATEVALUE(A2))), AND(ISNUMBER(A2), LEFT(CELL("format", A2))="D"))</formula1>
    </dataValidation>
    <dataValidation type="list" allowBlank="1" sqref="D2:D132">
      <formula1>"Research Done,Scripting,Shot,Edit WIP,Ready,Published,Not picked"</formula1>
    </dataValidation>
  </dataValidations>
  <hyperlinks>
    <hyperlink r:id="rId4" ref="E2"/>
    <hyperlink r:id="rId5" ref="E5"/>
    <hyperlink r:id="rId6" ref="E8"/>
    <hyperlink r:id="rId7" ref="E12"/>
    <hyperlink r:id="rId8" ref="E15"/>
    <hyperlink r:id="rId9" ref="E18"/>
    <hyperlink r:id="rId10" ref="E22"/>
    <hyperlink r:id="rId11" ref="E26"/>
    <hyperlink r:id="rId12" ref="E29"/>
    <hyperlink r:id="rId13" ref="E31"/>
    <hyperlink r:id="rId14" ref="E34"/>
    <hyperlink r:id="rId15" ref="E37"/>
    <hyperlink r:id="rId16" ref="E41"/>
    <hyperlink r:id="rId17" ref="E42"/>
    <hyperlink r:id="rId18" ref="E43"/>
    <hyperlink r:id="rId19" ref="E46"/>
    <hyperlink r:id="rId20" ref="E50"/>
    <hyperlink r:id="rId21" ref="E53"/>
    <hyperlink r:id="rId22" ref="E55"/>
    <hyperlink r:id="rId23" ref="E62"/>
    <hyperlink r:id="rId24" ref="E88"/>
    <hyperlink r:id="rId25" ref="E91"/>
  </hyperlinks>
  <drawing r:id="rId26"/>
  <legacyDrawing r:id="rId27"/>
  <tableParts count="1">
    <tablePart r:id="rId2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47.38"/>
    <col customWidth="1" min="3" max="3" width="34.13"/>
    <col customWidth="1" min="4" max="4" width="24.13"/>
    <col customWidth="1" min="5" max="5" width="34.5"/>
    <col customWidth="1" min="6" max="7" width="3.0"/>
    <col customWidth="1" min="8" max="8" width="22.13"/>
    <col customWidth="1" min="9" max="9" width="24.75"/>
    <col customWidth="1" min="10" max="10" width="19.75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/>
      <c r="H1" s="4"/>
      <c r="I1" s="5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6">
        <v>46100.0</v>
      </c>
      <c r="B2" s="14"/>
      <c r="C2" s="15" t="s">
        <v>209</v>
      </c>
      <c r="D2" s="9" t="s">
        <v>8</v>
      </c>
      <c r="E2" s="17"/>
      <c r="F2" s="11"/>
      <c r="G2" s="4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47">
        <v>20.0</v>
      </c>
      <c r="B3" s="44" t="s">
        <v>210</v>
      </c>
      <c r="C3" s="15" t="s">
        <v>211</v>
      </c>
      <c r="D3" s="9" t="s">
        <v>8</v>
      </c>
      <c r="E3" s="11"/>
      <c r="F3" s="11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2.5" customHeight="1">
      <c r="A4" s="47">
        <v>21.0</v>
      </c>
      <c r="B4" s="14"/>
      <c r="C4" s="15" t="s">
        <v>212</v>
      </c>
      <c r="D4" s="9" t="s">
        <v>30</v>
      </c>
      <c r="E4" s="11"/>
      <c r="F4" s="11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2.5" customHeight="1">
      <c r="A5" s="47">
        <v>23.0</v>
      </c>
      <c r="B5" s="7"/>
      <c r="C5" s="15" t="s">
        <v>213</v>
      </c>
      <c r="D5" s="9" t="s">
        <v>30</v>
      </c>
      <c r="E5" s="17"/>
      <c r="F5" s="11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A6" s="47">
        <v>24.0</v>
      </c>
      <c r="B6" s="16"/>
      <c r="C6" s="15" t="s">
        <v>214</v>
      </c>
      <c r="D6" s="9" t="s">
        <v>215</v>
      </c>
      <c r="E6" s="11"/>
      <c r="F6" s="11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A7" s="47">
        <v>25.0</v>
      </c>
      <c r="B7" s="16" t="s">
        <v>216</v>
      </c>
      <c r="C7" s="15"/>
      <c r="D7" s="9" t="s">
        <v>30</v>
      </c>
      <c r="E7" s="11"/>
      <c r="F7" s="1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2.5" customHeight="1">
      <c r="A8" s="59">
        <v>26.0</v>
      </c>
      <c r="B8" s="7"/>
      <c r="C8" s="15" t="s">
        <v>217</v>
      </c>
      <c r="D8" s="9" t="s">
        <v>218</v>
      </c>
      <c r="E8" s="17"/>
      <c r="F8" s="1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2.5" customHeight="1">
      <c r="A9" s="47">
        <v>27.0</v>
      </c>
      <c r="B9" s="14"/>
      <c r="C9" s="15"/>
      <c r="D9" s="9"/>
      <c r="E9" s="11"/>
      <c r="F9" s="1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2.5" customHeight="1">
      <c r="A10" s="47">
        <v>29.0</v>
      </c>
      <c r="B10" s="14"/>
      <c r="C10" s="15"/>
      <c r="D10" s="9"/>
      <c r="E10" s="11"/>
      <c r="F10" s="11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A11" s="6">
        <v>46111.0</v>
      </c>
      <c r="B11" s="16"/>
      <c r="C11" s="15"/>
      <c r="D11" s="9"/>
      <c r="E11" s="11"/>
      <c r="F11" s="1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47">
        <v>31.0</v>
      </c>
      <c r="B12" s="7"/>
      <c r="C12" s="15"/>
      <c r="D12" s="9"/>
      <c r="E12" s="17"/>
      <c r="F12" s="1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2.5" customHeight="1">
      <c r="A13" s="6">
        <v>46113.0</v>
      </c>
      <c r="B13" s="16"/>
      <c r="C13" s="15"/>
      <c r="D13" s="9"/>
      <c r="E13" s="11"/>
      <c r="F13" s="1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2.5" customHeight="1">
      <c r="A14" s="47">
        <v>2.0</v>
      </c>
      <c r="B14" s="16" t="s">
        <v>1</v>
      </c>
      <c r="C14" s="15"/>
      <c r="D14" s="9"/>
      <c r="E14" s="11"/>
      <c r="F14" s="11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2.5" customHeight="1">
      <c r="A15" s="47">
        <v>3.0</v>
      </c>
      <c r="B15" s="7"/>
      <c r="C15" s="15"/>
      <c r="D15" s="9"/>
      <c r="E15" s="17"/>
      <c r="F15" s="11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2.5" customHeight="1">
      <c r="A16" s="6">
        <v>46116.0</v>
      </c>
      <c r="B16" s="14"/>
      <c r="C16" s="15"/>
      <c r="D16" s="9"/>
      <c r="E16" s="11"/>
      <c r="F16" s="11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2.5" customHeight="1">
      <c r="A17" s="6"/>
      <c r="B17" s="14"/>
      <c r="C17" s="15"/>
      <c r="D17" s="9"/>
      <c r="E17" s="11"/>
      <c r="F17" s="11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2.5" customHeight="1">
      <c r="A18" s="6"/>
      <c r="B18" s="7"/>
      <c r="C18" s="8"/>
      <c r="D18" s="9"/>
      <c r="E18" s="17"/>
      <c r="F18" s="11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2.5" customHeight="1">
      <c r="A19" s="6"/>
      <c r="B19" s="14"/>
      <c r="C19" s="15"/>
      <c r="D19" s="9"/>
      <c r="E19" s="11"/>
      <c r="F19" s="1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2.5" customHeight="1">
      <c r="A20" s="6"/>
      <c r="B20" s="14"/>
      <c r="C20" s="15"/>
      <c r="D20" s="9"/>
      <c r="E20" s="11"/>
      <c r="F20" s="11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2.5" customHeight="1">
      <c r="A21" s="6"/>
      <c r="B21" s="14"/>
      <c r="C21" s="15"/>
      <c r="D21" s="19"/>
      <c r="E21" s="20"/>
      <c r="F21" s="20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2.5" customHeight="1">
      <c r="A22" s="6"/>
      <c r="B22" s="7"/>
      <c r="C22" s="8"/>
      <c r="D22" s="9"/>
      <c r="E22" s="17"/>
      <c r="F22" s="11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2.5" customHeight="1">
      <c r="A23" s="6"/>
      <c r="B23" s="14"/>
      <c r="C23" s="15"/>
      <c r="D23" s="9"/>
      <c r="E23" s="20"/>
      <c r="F23" s="20"/>
      <c r="G23" s="4"/>
      <c r="H23" s="4"/>
      <c r="I23" s="21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2.5" customHeight="1">
      <c r="A24" s="6"/>
      <c r="B24" s="14"/>
      <c r="C24" s="15"/>
      <c r="D24" s="9"/>
      <c r="E24" s="20"/>
      <c r="F24" s="20"/>
      <c r="G24" s="4"/>
      <c r="H24" s="21"/>
      <c r="I24" s="5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2.5" customHeight="1">
      <c r="A25" s="6"/>
      <c r="B25" s="14"/>
      <c r="C25" s="15"/>
      <c r="D25" s="9"/>
      <c r="E25" s="20"/>
      <c r="F25" s="20"/>
      <c r="G25" s="4"/>
      <c r="H25" s="4"/>
      <c r="I25" s="5"/>
      <c r="J25" s="21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2.5" customHeight="1">
      <c r="A26" s="6"/>
      <c r="B26" s="7"/>
      <c r="C26" s="15"/>
      <c r="D26" s="9"/>
      <c r="E26" s="17"/>
      <c r="F26" s="11"/>
      <c r="G26" s="4"/>
      <c r="H26" s="4"/>
      <c r="I26" s="5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2.5" customHeight="1">
      <c r="A27" s="6"/>
      <c r="B27" s="16"/>
      <c r="C27" s="15"/>
      <c r="D27" s="9"/>
      <c r="E27" s="20"/>
      <c r="F27" s="20"/>
      <c r="G27" s="4"/>
      <c r="H27" s="4"/>
      <c r="I27" s="21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2.5" customHeight="1">
      <c r="A28" s="6"/>
      <c r="B28" s="16"/>
      <c r="C28" s="15"/>
      <c r="D28" s="9"/>
      <c r="E28" s="20"/>
      <c r="F28" s="20"/>
      <c r="G28" s="4"/>
      <c r="H28" s="4"/>
      <c r="I28" s="5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2.5" customHeight="1">
      <c r="A29" s="6"/>
      <c r="B29" s="7"/>
      <c r="C29" s="15"/>
      <c r="D29" s="9"/>
      <c r="E29" s="17"/>
      <c r="F29" s="20"/>
      <c r="G29" s="4"/>
      <c r="H29" s="4"/>
      <c r="I29" s="5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2.5" customHeight="1">
      <c r="A30" s="6"/>
      <c r="B30" s="16"/>
      <c r="C30" s="15"/>
      <c r="D30" s="9"/>
      <c r="E30" s="20"/>
      <c r="F30" s="20"/>
      <c r="G30" s="4"/>
      <c r="H30" s="4"/>
      <c r="I30" s="5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2.5" customHeight="1">
      <c r="A31" s="6"/>
      <c r="B31" s="7"/>
      <c r="C31" s="15"/>
      <c r="D31" s="9"/>
      <c r="E31" s="17"/>
      <c r="F31" s="11"/>
      <c r="G31" s="4"/>
      <c r="H31" s="4"/>
      <c r="I31" s="21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2.5" customHeight="1">
      <c r="A32" s="6"/>
      <c r="B32" s="16"/>
      <c r="C32" s="15"/>
      <c r="D32" s="9"/>
      <c r="E32" s="20"/>
      <c r="F32" s="20"/>
      <c r="G32" s="4"/>
      <c r="H32" s="4"/>
      <c r="I32" s="21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2.5" customHeight="1">
      <c r="A33" s="6"/>
      <c r="B33" s="14"/>
      <c r="C33" s="15"/>
      <c r="D33" s="9"/>
      <c r="E33" s="20"/>
      <c r="F33" s="20"/>
      <c r="G33" s="4"/>
      <c r="H33" s="4"/>
      <c r="I33" s="21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2.5" customHeight="1">
      <c r="A34" s="6"/>
      <c r="B34" s="7"/>
      <c r="C34" s="8"/>
      <c r="D34" s="9"/>
      <c r="E34" s="17"/>
      <c r="F34" s="11"/>
      <c r="G34" s="4"/>
      <c r="H34" s="4"/>
      <c r="I34" s="21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2.5" customHeight="1">
      <c r="A35" s="6"/>
      <c r="B35" s="14"/>
      <c r="C35" s="15"/>
      <c r="D35" s="9"/>
      <c r="E35" s="20"/>
      <c r="F35" s="20"/>
      <c r="G35" s="4"/>
      <c r="H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2.5" customHeight="1">
      <c r="A36" s="6"/>
      <c r="B36" s="14"/>
      <c r="C36" s="15"/>
      <c r="D36" s="9"/>
      <c r="E36" s="20"/>
      <c r="F36" s="20"/>
      <c r="G36" s="4"/>
      <c r="H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2.5" customHeight="1">
      <c r="A37" s="22"/>
      <c r="B37" s="23"/>
      <c r="C37" s="17"/>
      <c r="D37" s="9"/>
      <c r="E37" s="17"/>
      <c r="F37" s="20"/>
      <c r="G37" s="4"/>
      <c r="H37" s="2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2.5" customHeight="1">
      <c r="A38" s="22"/>
      <c r="B38" s="7"/>
      <c r="C38" s="17"/>
      <c r="D38" s="9"/>
      <c r="E38" s="20"/>
      <c r="F38" s="20"/>
      <c r="G38" s="4"/>
      <c r="H38" s="2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2.5" customHeight="1">
      <c r="A39" s="25"/>
      <c r="B39" s="23"/>
      <c r="C39" s="17"/>
      <c r="D39" s="9"/>
      <c r="E39" s="20"/>
      <c r="F39" s="20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2.5" customHeight="1">
      <c r="A40" s="25"/>
      <c r="B40" s="23"/>
      <c r="C40" s="17"/>
      <c r="D40" s="9"/>
      <c r="E40" s="20"/>
      <c r="F40" s="20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2.5" customHeight="1">
      <c r="A41" s="22"/>
      <c r="B41" s="23"/>
      <c r="C41" s="17"/>
      <c r="D41" s="9"/>
      <c r="E41" s="17"/>
      <c r="F41" s="20"/>
      <c r="G41" s="4"/>
      <c r="H41" s="21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2.5" customHeight="1">
      <c r="A42" s="25"/>
      <c r="B42" s="7"/>
      <c r="C42" s="17"/>
      <c r="D42" s="27"/>
      <c r="E42" s="17"/>
      <c r="F42" s="20"/>
      <c r="G42" s="4"/>
      <c r="H42" s="21"/>
      <c r="I42" s="21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2.5" customHeight="1">
      <c r="A43" s="25"/>
      <c r="B43" s="7"/>
      <c r="C43" s="17"/>
      <c r="D43" s="27"/>
      <c r="E43" s="17"/>
      <c r="F43" s="20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2.5" customHeight="1">
      <c r="A44" s="25"/>
      <c r="B44" s="28"/>
      <c r="C44" s="17"/>
      <c r="D44" s="27"/>
      <c r="E44" s="20"/>
      <c r="F44" s="20"/>
      <c r="G44" s="4"/>
      <c r="H44" s="21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2.5" customHeight="1">
      <c r="A45" s="25"/>
      <c r="B45" s="7"/>
      <c r="C45" s="17"/>
      <c r="D45" s="27"/>
      <c r="E45" s="20"/>
      <c r="F45" s="20"/>
      <c r="G45" s="4"/>
      <c r="H45" s="21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2.5" customHeight="1">
      <c r="A46" s="22"/>
      <c r="B46" s="23"/>
      <c r="C46" s="17"/>
      <c r="D46" s="9"/>
      <c r="E46" s="17"/>
      <c r="F46" s="20"/>
      <c r="G46" s="4"/>
      <c r="H46" s="21"/>
      <c r="I46" s="21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2.5" customHeight="1">
      <c r="A47" s="25"/>
      <c r="B47" s="23"/>
      <c r="C47" s="17"/>
      <c r="D47" s="9"/>
      <c r="E47" s="20"/>
      <c r="F47" s="20"/>
      <c r="G47" s="4"/>
      <c r="H47" s="21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2.5" customHeight="1">
      <c r="A48" s="25"/>
      <c r="B48" s="23"/>
      <c r="C48" s="17"/>
      <c r="D48" s="9"/>
      <c r="E48" s="20"/>
      <c r="F48" s="20"/>
      <c r="G48" s="4"/>
      <c r="H48" s="21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2.5" customHeight="1">
      <c r="A49" s="45"/>
      <c r="B49" s="28"/>
      <c r="C49" s="44"/>
      <c r="D49" s="60"/>
      <c r="G49" s="4"/>
      <c r="H49" s="21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2.5" customHeight="1">
      <c r="A50" s="22"/>
      <c r="B50" s="23"/>
      <c r="C50" s="17"/>
      <c r="D50" s="27"/>
      <c r="E50" s="17"/>
      <c r="F50" s="20"/>
      <c r="G50" s="4"/>
      <c r="H50" s="21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2.5" customHeight="1">
      <c r="A51" s="25"/>
      <c r="B51" s="23"/>
      <c r="C51" s="17"/>
      <c r="D51" s="27"/>
      <c r="E51" s="20"/>
      <c r="F51" s="20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2.5" customHeight="1">
      <c r="A52" s="13"/>
      <c r="B52" s="7"/>
      <c r="C52" s="16"/>
      <c r="D52" s="61"/>
      <c r="E52" s="8"/>
      <c r="F52" s="20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2.5" customHeight="1">
      <c r="A53" s="22"/>
      <c r="B53" s="23"/>
      <c r="C53" s="17"/>
      <c r="D53" s="27"/>
      <c r="E53" s="17"/>
      <c r="F53" s="20"/>
      <c r="G53" s="4"/>
      <c r="H53" s="21"/>
      <c r="I53" s="21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2.5" customHeight="1">
      <c r="A54" s="25"/>
      <c r="B54" s="23"/>
      <c r="C54" s="17"/>
      <c r="D54" s="27"/>
      <c r="E54" s="20"/>
      <c r="F54" s="20"/>
      <c r="G54" s="4"/>
      <c r="H54" s="4"/>
      <c r="I54" s="21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2.5" customHeight="1">
      <c r="A55" s="22"/>
      <c r="B55" s="7"/>
      <c r="C55" s="17"/>
      <c r="D55" s="27"/>
      <c r="E55" s="17"/>
      <c r="F55" s="20"/>
      <c r="G55" s="4"/>
      <c r="H55" s="21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2.5" customHeight="1">
      <c r="A56" s="25"/>
      <c r="B56" s="23"/>
      <c r="C56" s="17"/>
      <c r="D56" s="27"/>
      <c r="E56" s="20"/>
      <c r="F56" s="2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2.5" customHeight="1">
      <c r="A57" s="22"/>
      <c r="B57" s="23"/>
      <c r="C57" s="8"/>
      <c r="D57" s="60"/>
      <c r="F57" s="20"/>
      <c r="G57" s="4"/>
      <c r="H57" s="21"/>
      <c r="I57" s="21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2.5" customHeight="1">
      <c r="A58" s="22"/>
      <c r="B58" s="23"/>
      <c r="C58" s="8"/>
      <c r="D58" s="40"/>
      <c r="F58" s="20"/>
      <c r="G58" s="4"/>
      <c r="H58" s="21"/>
      <c r="I58" s="21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2.5" customHeight="1">
      <c r="A59" s="22"/>
      <c r="B59" s="23"/>
      <c r="C59" s="15"/>
      <c r="D59" s="60"/>
      <c r="E59" s="20"/>
      <c r="F59" s="20"/>
      <c r="G59" s="4"/>
      <c r="H59" s="21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2.5" customHeight="1">
      <c r="A60" s="25"/>
      <c r="B60" s="23"/>
      <c r="C60" s="15"/>
      <c r="D60" s="60"/>
      <c r="F60" s="20"/>
      <c r="G60" s="4"/>
      <c r="H60" s="21"/>
      <c r="I60" s="21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2.5" customHeight="1">
      <c r="A61" s="25"/>
      <c r="B61" s="28"/>
      <c r="C61" s="15"/>
      <c r="D61" s="60"/>
      <c r="E61" s="20"/>
      <c r="F61" s="20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2.5" customHeight="1">
      <c r="A62" s="22"/>
      <c r="B62" s="23"/>
      <c r="C62" s="17"/>
      <c r="D62" s="27"/>
      <c r="E62" s="17"/>
      <c r="F62" s="20"/>
      <c r="G62" s="4"/>
      <c r="H62" s="21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2.5" customHeight="1">
      <c r="A63" s="25"/>
      <c r="B63" s="28"/>
      <c r="C63" s="15"/>
      <c r="D63" s="60"/>
      <c r="E63" s="20"/>
      <c r="F63" s="20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2.5" customHeight="1">
      <c r="A64" s="25"/>
      <c r="B64" s="28"/>
      <c r="C64" s="15"/>
      <c r="D64" s="60"/>
      <c r="E64" s="20"/>
      <c r="F64" s="20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2.5" customHeight="1">
      <c r="A65" s="25"/>
      <c r="C65" s="15"/>
      <c r="D65" s="60"/>
      <c r="E65" s="20"/>
      <c r="F65" s="20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2.5" customHeight="1">
      <c r="A66" s="45"/>
      <c r="B66" s="28"/>
      <c r="C66" s="15"/>
      <c r="D66" s="60"/>
      <c r="E66" s="20"/>
      <c r="F66" s="20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2.5" customHeight="1">
      <c r="A67" s="25"/>
      <c r="B67" s="23"/>
      <c r="C67" s="15"/>
      <c r="D67" s="27"/>
      <c r="E67" s="20"/>
      <c r="F67" s="20"/>
      <c r="G67" s="4"/>
      <c r="H67" s="4"/>
      <c r="I67" s="21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2.5" customHeight="1">
      <c r="A68" s="6"/>
      <c r="B68" s="7"/>
      <c r="D68" s="60"/>
      <c r="G68" s="4"/>
      <c r="H68" s="21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2.5" customHeight="1">
      <c r="A69" s="25"/>
      <c r="D69" s="60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2.5" customHeight="1">
      <c r="A70" s="45"/>
      <c r="D70" s="60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2.5" customHeight="1">
      <c r="A71" s="22"/>
      <c r="B71" s="47"/>
      <c r="C71" s="17"/>
      <c r="D71" s="27"/>
      <c r="E71" s="20"/>
      <c r="F71" s="20"/>
      <c r="G71" s="4"/>
      <c r="H71" s="21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2.5" customHeight="1">
      <c r="A72" s="25"/>
      <c r="B72" s="23"/>
      <c r="C72" s="15"/>
      <c r="D72" s="27"/>
      <c r="E72" s="20"/>
      <c r="F72" s="20"/>
      <c r="G72" s="4"/>
      <c r="H72" s="21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2.5" customHeight="1">
      <c r="A73" s="25"/>
      <c r="B73" s="47"/>
      <c r="C73" s="17"/>
      <c r="D73" s="27"/>
      <c r="E73" s="20"/>
      <c r="F73" s="20"/>
      <c r="G73" s="4"/>
      <c r="H73" s="21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2.5" customHeight="1">
      <c r="A74" s="25"/>
      <c r="B74" s="47"/>
      <c r="C74" s="17"/>
      <c r="D74" s="48"/>
      <c r="E74" s="20"/>
      <c r="F74" s="20"/>
      <c r="G74" s="4"/>
      <c r="H74" s="21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2.5" customHeight="1">
      <c r="A75" s="22"/>
      <c r="B75" s="23"/>
      <c r="D75" s="27"/>
      <c r="E75" s="20"/>
      <c r="F75" s="20"/>
      <c r="G75" s="4"/>
      <c r="H75" s="21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2.5" customHeight="1">
      <c r="A76" s="25"/>
      <c r="B76" s="28"/>
      <c r="C76" s="17"/>
      <c r="D76" s="27"/>
      <c r="E76" s="20"/>
      <c r="F76" s="20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2.5" customHeight="1">
      <c r="A77" s="25"/>
      <c r="B77" s="28"/>
      <c r="C77" s="17"/>
      <c r="D77" s="27"/>
      <c r="E77" s="20"/>
      <c r="F77" s="20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2.5" customHeight="1">
      <c r="A78" s="22"/>
      <c r="B78" s="23"/>
      <c r="C78" s="17"/>
      <c r="D78" s="27"/>
      <c r="E78" s="20"/>
      <c r="F78" s="20"/>
      <c r="G78" s="4"/>
      <c r="H78" s="21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2.5" customHeight="1">
      <c r="A79" s="25"/>
      <c r="B79" s="28"/>
      <c r="C79" s="17"/>
      <c r="D79" s="27"/>
      <c r="E79" s="20"/>
      <c r="F79" s="20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2.5" customHeight="1">
      <c r="A80" s="25"/>
      <c r="B80" s="28"/>
      <c r="C80" s="17"/>
      <c r="D80" s="27"/>
      <c r="E80" s="20"/>
      <c r="F80" s="20"/>
      <c r="G80" s="4"/>
      <c r="H80" s="21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2.5" customHeight="1">
      <c r="A81" s="22"/>
      <c r="B81" s="23"/>
      <c r="C81" s="17"/>
      <c r="D81" s="27"/>
      <c r="E81" s="20"/>
      <c r="F81" s="20"/>
      <c r="G81" s="4"/>
      <c r="H81" s="21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2.5" customHeight="1">
      <c r="A82" s="22"/>
      <c r="B82" s="23"/>
      <c r="C82" s="17"/>
      <c r="D82" s="27"/>
      <c r="E82" s="20"/>
      <c r="F82" s="20"/>
      <c r="G82" s="4"/>
      <c r="H82" s="21"/>
      <c r="I82" s="21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2.5" customHeight="1">
      <c r="A83" s="25"/>
      <c r="B83" s="28"/>
      <c r="D83" s="27"/>
      <c r="E83" s="20"/>
      <c r="F83" s="20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2.5" customHeight="1">
      <c r="A84" s="25"/>
      <c r="B84" s="28"/>
      <c r="C84" s="17"/>
      <c r="D84" s="27"/>
      <c r="E84" s="20"/>
      <c r="F84" s="20"/>
      <c r="G84" s="4"/>
      <c r="H84" s="4"/>
      <c r="I84" s="4"/>
      <c r="J84" s="4"/>
      <c r="K84" s="4"/>
      <c r="T84" s="4"/>
      <c r="U84" s="4"/>
      <c r="V84" s="4"/>
      <c r="W84" s="4"/>
      <c r="X84" s="4"/>
      <c r="Y84" s="4"/>
      <c r="Z84" s="4"/>
    </row>
    <row r="85" ht="22.5" customHeight="1">
      <c r="A85" s="22"/>
      <c r="B85" s="7"/>
      <c r="D85" s="60"/>
      <c r="E85" s="20"/>
      <c r="F85" s="20"/>
      <c r="G85" s="4"/>
      <c r="H85" s="21"/>
      <c r="I85" s="21"/>
      <c r="J85" s="4"/>
      <c r="K85" s="4"/>
      <c r="N85" s="51"/>
      <c r="T85" s="4"/>
      <c r="U85" s="4"/>
      <c r="V85" s="4"/>
      <c r="W85" s="4"/>
      <c r="X85" s="4"/>
      <c r="Y85" s="4"/>
      <c r="Z85" s="4"/>
    </row>
    <row r="86" ht="22.5" customHeight="1">
      <c r="A86" s="25"/>
      <c r="C86" s="17"/>
      <c r="D86" s="60"/>
      <c r="E86" s="20"/>
      <c r="F86" s="20"/>
      <c r="G86" s="4"/>
      <c r="H86" s="21"/>
      <c r="I86" s="4"/>
      <c r="J86" s="4"/>
      <c r="K86" s="4"/>
      <c r="N86" s="51"/>
      <c r="T86" s="4"/>
      <c r="U86" s="4"/>
      <c r="V86" s="4"/>
      <c r="W86" s="4"/>
      <c r="X86" s="4"/>
      <c r="Y86" s="4"/>
      <c r="Z86" s="4"/>
    </row>
    <row r="87" ht="22.5" customHeight="1">
      <c r="A87" s="25"/>
      <c r="C87" s="17"/>
      <c r="D87" s="60"/>
      <c r="E87" s="20"/>
      <c r="F87" s="20"/>
      <c r="G87" s="4"/>
      <c r="H87" s="21"/>
      <c r="I87" s="4"/>
      <c r="J87" s="4"/>
      <c r="K87" s="4"/>
      <c r="N87" s="51"/>
      <c r="T87" s="4"/>
      <c r="U87" s="4"/>
      <c r="V87" s="4"/>
      <c r="W87" s="4"/>
      <c r="X87" s="4"/>
      <c r="Y87" s="4"/>
      <c r="Z87" s="4"/>
    </row>
    <row r="88" ht="22.5" customHeight="1">
      <c r="A88" s="25"/>
      <c r="C88" s="17"/>
      <c r="D88" s="27"/>
      <c r="E88" s="17"/>
      <c r="F88" s="20"/>
      <c r="G88" s="4"/>
      <c r="H88" s="21"/>
      <c r="I88" s="21"/>
      <c r="J88" s="4"/>
      <c r="K88" s="4"/>
      <c r="T88" s="4"/>
      <c r="U88" s="4"/>
      <c r="V88" s="4"/>
      <c r="W88" s="4"/>
      <c r="X88" s="4"/>
      <c r="Y88" s="4"/>
      <c r="Z88" s="4"/>
    </row>
    <row r="89" ht="22.5" customHeight="1">
      <c r="A89" s="22"/>
      <c r="B89" s="23"/>
      <c r="D89" s="27"/>
      <c r="E89" s="20"/>
      <c r="F89" s="20"/>
      <c r="G89" s="4"/>
      <c r="H89" s="4"/>
      <c r="I89" s="4"/>
      <c r="J89" s="4"/>
      <c r="K89" s="4"/>
      <c r="T89" s="4"/>
      <c r="U89" s="4"/>
      <c r="V89" s="4"/>
      <c r="W89" s="4"/>
      <c r="X89" s="4"/>
      <c r="Y89" s="4"/>
      <c r="Z89" s="4"/>
    </row>
    <row r="90" ht="22.5" customHeight="1">
      <c r="A90" s="25"/>
      <c r="B90" s="23"/>
      <c r="C90" s="17"/>
      <c r="D90" s="27"/>
      <c r="E90" s="20"/>
      <c r="F90" s="20"/>
      <c r="G90" s="4"/>
      <c r="H90" s="4"/>
      <c r="I90" s="4"/>
      <c r="J90" s="4"/>
      <c r="K90" s="4"/>
      <c r="T90" s="4"/>
      <c r="U90" s="4"/>
      <c r="V90" s="4"/>
      <c r="W90" s="4"/>
      <c r="X90" s="4"/>
      <c r="Y90" s="4"/>
      <c r="Z90" s="4"/>
    </row>
    <row r="91" ht="22.5" customHeight="1">
      <c r="A91" s="22"/>
      <c r="B91" s="23"/>
      <c r="C91" s="17"/>
      <c r="D91" s="27"/>
      <c r="E91" s="17"/>
      <c r="F91" s="20"/>
      <c r="G91" s="4"/>
      <c r="H91" s="21"/>
      <c r="I91" s="21"/>
      <c r="J91" s="4"/>
      <c r="K91" s="4"/>
      <c r="L91" s="52"/>
      <c r="T91" s="4"/>
      <c r="U91" s="4"/>
      <c r="V91" s="4"/>
      <c r="W91" s="4"/>
      <c r="X91" s="4"/>
      <c r="Y91" s="4"/>
      <c r="Z91" s="4"/>
    </row>
    <row r="92" ht="22.5" customHeight="1">
      <c r="A92" s="25"/>
      <c r="C92" s="15"/>
      <c r="D92" s="27"/>
      <c r="E92" s="20"/>
      <c r="F92" s="20"/>
      <c r="G92" s="4"/>
      <c r="H92" s="4"/>
      <c r="I92" s="4"/>
      <c r="J92" s="4"/>
      <c r="K92" s="4"/>
      <c r="T92" s="4"/>
      <c r="U92" s="4"/>
      <c r="V92" s="4"/>
      <c r="W92" s="4"/>
      <c r="X92" s="4"/>
      <c r="Y92" s="4"/>
      <c r="Z92" s="4"/>
    </row>
    <row r="93" ht="22.5" customHeight="1">
      <c r="A93" s="25"/>
      <c r="C93" s="15"/>
      <c r="D93" s="27"/>
      <c r="E93" s="20"/>
      <c r="F93" s="20"/>
      <c r="G93" s="4"/>
      <c r="H93" s="4"/>
      <c r="I93" s="4"/>
      <c r="J93" s="4"/>
      <c r="K93" s="4"/>
      <c r="T93" s="4"/>
      <c r="U93" s="4"/>
      <c r="V93" s="4"/>
      <c r="W93" s="4"/>
      <c r="X93" s="4"/>
      <c r="Y93" s="4"/>
      <c r="Z93" s="4"/>
    </row>
    <row r="94" ht="22.5" customHeight="1">
      <c r="A94" s="22"/>
      <c r="B94" s="23"/>
      <c r="C94" s="17"/>
      <c r="D94" s="27"/>
      <c r="E94" s="20"/>
      <c r="F94" s="20"/>
      <c r="G94" s="4"/>
      <c r="H94" s="21"/>
      <c r="I94" s="4"/>
      <c r="J94" s="4"/>
      <c r="K94" s="4"/>
      <c r="T94" s="4"/>
      <c r="U94" s="4"/>
      <c r="V94" s="4"/>
      <c r="W94" s="4"/>
      <c r="X94" s="4"/>
      <c r="Y94" s="4"/>
      <c r="Z94" s="4"/>
    </row>
    <row r="95" ht="22.5" customHeight="1">
      <c r="A95" s="25"/>
      <c r="C95" s="15"/>
      <c r="D95" s="27"/>
      <c r="E95" s="20"/>
      <c r="F95" s="20"/>
      <c r="G95" s="4"/>
      <c r="H95" s="4"/>
      <c r="I95" s="4"/>
      <c r="J95" s="4"/>
      <c r="K95" s="4"/>
      <c r="T95" s="4"/>
      <c r="U95" s="4"/>
      <c r="V95" s="4"/>
      <c r="W95" s="4"/>
      <c r="X95" s="4"/>
      <c r="Y95" s="4"/>
      <c r="Z95" s="4"/>
    </row>
    <row r="96" ht="22.5" customHeight="1">
      <c r="A96" s="25"/>
      <c r="C96" s="15"/>
      <c r="D96" s="27"/>
      <c r="E96" s="20"/>
      <c r="F96" s="20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2.5" customHeight="1">
      <c r="A97" s="22"/>
      <c r="B97" s="23"/>
      <c r="C97" s="17"/>
      <c r="D97" s="27"/>
      <c r="E97" s="20"/>
      <c r="F97" s="20"/>
      <c r="G97" s="4"/>
      <c r="H97" s="21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2.5" customHeight="1">
      <c r="A98" s="25"/>
      <c r="C98" s="15"/>
      <c r="D98" s="27"/>
      <c r="E98" s="20"/>
      <c r="F98" s="20"/>
    </row>
    <row r="99" ht="22.5" customHeight="1">
      <c r="A99" s="25"/>
      <c r="C99" s="17"/>
      <c r="D99" s="27"/>
      <c r="E99" s="20"/>
      <c r="F99" s="20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2.5" customHeight="1">
      <c r="A100" s="22"/>
      <c r="B100" s="23"/>
      <c r="C100" s="17"/>
      <c r="D100" s="27"/>
      <c r="E100" s="20"/>
      <c r="F100" s="20"/>
      <c r="G100" s="4"/>
      <c r="H100" s="21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2.5" customHeight="1">
      <c r="A101" s="25"/>
      <c r="C101" s="17"/>
      <c r="D101" s="27"/>
      <c r="E101" s="20"/>
      <c r="F101" s="20"/>
      <c r="G101" s="4"/>
      <c r="H101" s="4"/>
      <c r="I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2.5" customHeight="1">
      <c r="A102" s="25"/>
      <c r="C102" s="15"/>
      <c r="D102" s="27"/>
      <c r="E102" s="20"/>
      <c r="F102" s="20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2.5" customHeight="1">
      <c r="A103" s="22"/>
      <c r="B103" s="23"/>
      <c r="C103" s="17"/>
      <c r="D103" s="27"/>
      <c r="E103" s="20"/>
      <c r="F103" s="20"/>
      <c r="G103" s="4"/>
      <c r="H103" s="21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2.5" customHeight="1">
      <c r="A104" s="25"/>
      <c r="B104" s="28"/>
      <c r="C104" s="17"/>
      <c r="D104" s="27"/>
      <c r="E104" s="20"/>
      <c r="F104" s="20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2.5" customHeight="1">
      <c r="A105" s="22"/>
      <c r="B105" s="7"/>
      <c r="C105" s="17"/>
      <c r="D105" s="27"/>
      <c r="E105" s="20"/>
      <c r="F105" s="20"/>
      <c r="G105" s="4"/>
      <c r="H105" s="4"/>
      <c r="I105" s="2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2.5" customHeight="1">
      <c r="A106" s="25"/>
      <c r="B106" s="28"/>
      <c r="C106" s="17"/>
      <c r="D106" s="27"/>
      <c r="E106" s="20"/>
      <c r="F106" s="20"/>
      <c r="G106" s="4"/>
      <c r="H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2.5" customHeight="1">
      <c r="A107" s="25"/>
      <c r="B107" s="28"/>
      <c r="C107" s="17"/>
      <c r="D107" s="27"/>
      <c r="E107" s="20"/>
      <c r="F107" s="20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2.5" customHeight="1">
      <c r="A108" s="22"/>
      <c r="B108" s="23"/>
      <c r="C108" s="17"/>
      <c r="D108" s="27"/>
      <c r="E108" s="20"/>
      <c r="F108" s="20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2.5" customHeight="1">
      <c r="A109" s="25"/>
      <c r="B109" s="28"/>
      <c r="C109" s="17"/>
      <c r="D109" s="27"/>
      <c r="E109" s="20"/>
      <c r="F109" s="20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2.5" customHeight="1">
      <c r="A110" s="25"/>
      <c r="B110" s="28"/>
      <c r="C110" s="17"/>
      <c r="D110" s="27"/>
      <c r="E110" s="20"/>
      <c r="F110" s="20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2.5" customHeight="1">
      <c r="A111" s="22"/>
      <c r="B111" s="23"/>
      <c r="C111" s="17"/>
      <c r="D111" s="27"/>
      <c r="E111" s="20"/>
      <c r="F111" s="20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2.5" customHeight="1">
      <c r="A112" s="25"/>
      <c r="B112" s="28"/>
      <c r="C112" s="17"/>
      <c r="D112" s="27"/>
      <c r="E112" s="20"/>
      <c r="F112" s="20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2.5" customHeight="1">
      <c r="A113" s="25"/>
      <c r="B113" s="28"/>
      <c r="C113" s="17"/>
      <c r="D113" s="27"/>
      <c r="E113" s="20"/>
      <c r="F113" s="20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2.5" customHeight="1">
      <c r="A114" s="22"/>
      <c r="B114" s="7"/>
      <c r="C114" s="17"/>
      <c r="D114" s="48"/>
      <c r="E114" s="20"/>
      <c r="F114" s="20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2.5" customHeight="1">
      <c r="A115" s="22"/>
      <c r="B115" s="7"/>
      <c r="C115" s="17"/>
      <c r="D115" s="48"/>
      <c r="E115" s="20"/>
      <c r="F115" s="20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2.5" customHeight="1">
      <c r="A116" s="22"/>
      <c r="B116" s="7"/>
      <c r="C116" s="17"/>
      <c r="D116" s="48"/>
      <c r="E116" s="20"/>
      <c r="F116" s="20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2.5" customHeight="1">
      <c r="A117" s="22"/>
      <c r="B117" s="23"/>
      <c r="C117" s="17"/>
      <c r="D117" s="48"/>
      <c r="E117" s="20"/>
      <c r="F117" s="20"/>
      <c r="G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2.5" customHeight="1">
      <c r="A118" s="22"/>
      <c r="B118" s="23"/>
      <c r="C118" s="17"/>
      <c r="D118" s="48"/>
      <c r="E118" s="20"/>
      <c r="F118" s="20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2.5" customHeight="1">
      <c r="A119" s="22"/>
      <c r="B119" s="23"/>
      <c r="C119" s="17"/>
      <c r="D119" s="48"/>
      <c r="E119" s="20"/>
      <c r="F119" s="20"/>
      <c r="G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2.5" customHeight="1">
      <c r="A120" s="22"/>
      <c r="B120" s="23"/>
      <c r="C120" s="17"/>
      <c r="D120" s="48"/>
      <c r="E120" s="20"/>
      <c r="F120" s="20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58"/>
      <c r="C121" s="4"/>
      <c r="D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5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C123" s="2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57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57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58"/>
      <c r="C126" s="5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54"/>
      <c r="C127" s="21"/>
      <c r="D127" s="21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54"/>
      <c r="C128" s="21" t="s">
        <v>208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5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5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54"/>
      <c r="C131" s="4"/>
      <c r="D131" s="4"/>
      <c r="E131" s="4"/>
      <c r="F131" s="4"/>
      <c r="G131" s="4"/>
      <c r="H131" s="4"/>
      <c r="I131" s="21">
        <v>28.0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54"/>
      <c r="C132" s="4"/>
      <c r="D132" s="4"/>
      <c r="E132" s="4"/>
      <c r="F132" s="4"/>
      <c r="G132" s="4"/>
      <c r="H132" s="4"/>
      <c r="I132" s="21">
        <v>9.0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54"/>
      <c r="C133" s="4"/>
      <c r="D133" s="4"/>
      <c r="E133" s="4"/>
      <c r="F133" s="4"/>
      <c r="G133" s="4"/>
      <c r="H133" s="4"/>
      <c r="I133" s="4">
        <f>sum(I131:I132)</f>
        <v>37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5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5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5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5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5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5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5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5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5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5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5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5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5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5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5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5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5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5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5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5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5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5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5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5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5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5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5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5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5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5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5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5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5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5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5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5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5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5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5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5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5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5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5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5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5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5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5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5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5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5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5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5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5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5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5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5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5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5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5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5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5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5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5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5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5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5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5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5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5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5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5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5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5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5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5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5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5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5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5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5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5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5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5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5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5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5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5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5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5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5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5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5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5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5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5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5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5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5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5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5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5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5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5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5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5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5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5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5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5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5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5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5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5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5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5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5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5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5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5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5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5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5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5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5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5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5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5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5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5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5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5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5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5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5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5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5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5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5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5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5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5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5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5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5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5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5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5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5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5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5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5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5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5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5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5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5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5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5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5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5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5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5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5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5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5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5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5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5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5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5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5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5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5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5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5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5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5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5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5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5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5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5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5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5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5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5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5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5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5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5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5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5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5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5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5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5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5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5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5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5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5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5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5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5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5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5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5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5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5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5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5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5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5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5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5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5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5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5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5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5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5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5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5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5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5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5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5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5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5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5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5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5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5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5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5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5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5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5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5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5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5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5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5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5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5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5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5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5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5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5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5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5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5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5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5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5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5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5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5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5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5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5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5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5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5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5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5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5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5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5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5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5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5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5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5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5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5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5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5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5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5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5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5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5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5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5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5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5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5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5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5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5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5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5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5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5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5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5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5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5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5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5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5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5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5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5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5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5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5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5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5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5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5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5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5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5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5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5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5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5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5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5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5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5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5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5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5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5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5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5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5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5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5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5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5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5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5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5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5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5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5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5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5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5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5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5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5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5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5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5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5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5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5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5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5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5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5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5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5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5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5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5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5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5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5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5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5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5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5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5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5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5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5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5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5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5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5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5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5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5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5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5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5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5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5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5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5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5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5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5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5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5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5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5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5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5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5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5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5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5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5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5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5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5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5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5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5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5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5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5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5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5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5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5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5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5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5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5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5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5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5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5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5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5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5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5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5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5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5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5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5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5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5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5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5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5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5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5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5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5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5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5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5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5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5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5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5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5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5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5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5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5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5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5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5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5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5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5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5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5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5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5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5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5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5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5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5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5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5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5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5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5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5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5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5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5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5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5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5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5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5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5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5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5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5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5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5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5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5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5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5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5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5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5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5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5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5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5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5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5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5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5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5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5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5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5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5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5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5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5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5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5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5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5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5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5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5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5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5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5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5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5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5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5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5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5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5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5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5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5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5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5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5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5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5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5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5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5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5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5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5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5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5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5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5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5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5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5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5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5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5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5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5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5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5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5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5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5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5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5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5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5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5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5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5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5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5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5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5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5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5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5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5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5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5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5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5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5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5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5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5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5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5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5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5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5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5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5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5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5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5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5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5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5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5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5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5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5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5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5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5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5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5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5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5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5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5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5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5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5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5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5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5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5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5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5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5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5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5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5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5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5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5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5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5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5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5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5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5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5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5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5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5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5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5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5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5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5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5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5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5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5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5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5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5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5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5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5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5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5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5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5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5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5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5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5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5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5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5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5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5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5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5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5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5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5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5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5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5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5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5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5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5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5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5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5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5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5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5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5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5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5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5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5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5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5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5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5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5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5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5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5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5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5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5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5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5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5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5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5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5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5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5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5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5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5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5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5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5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5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5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5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5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5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5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5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5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5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5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5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5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5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5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5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5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5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5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5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5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5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5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5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5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5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5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5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5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5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5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5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5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5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5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5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5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5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5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5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5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5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5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5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5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5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5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5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5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5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5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5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5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5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5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5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5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5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5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5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5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5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5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5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5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5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5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5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5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5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5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5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5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5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5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5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5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5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5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5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5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5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5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5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5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5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5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5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5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5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5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5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5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5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5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5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5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5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5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5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5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5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5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5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5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5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5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5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5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5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5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5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5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5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5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5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5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5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5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5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5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5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5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5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5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5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5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5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5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5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5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5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5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5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5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5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5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5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5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5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5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5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5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5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5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5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5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5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5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5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5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5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5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5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5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5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5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5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5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5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5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5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5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5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5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5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5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5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5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5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5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5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5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5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5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5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5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5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5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5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5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5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5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5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5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5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5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5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5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5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5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5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5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5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5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5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5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5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5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5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5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5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5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5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5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5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5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5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5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5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5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5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5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5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5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5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5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5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5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5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/>
      <c r="B1062" s="5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/>
      <c r="B1063" s="5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/>
      <c r="B1064" s="5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/>
      <c r="B1065" s="5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/>
      <c r="B1066" s="5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/>
      <c r="B1067" s="5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</sheetData>
  <dataValidations>
    <dataValidation type="custom" allowBlank="1" showDropDown="1" sqref="A2:A120">
      <formula1>OR(NOT(ISERROR(DATEVALUE(A2))), AND(ISNUMBER(A2), LEFT(CELL("format", A2))="D"))</formula1>
    </dataValidation>
    <dataValidation type="list" allowBlank="1" sqref="D2:D120">
      <formula1>"Research Done,Scripting,Shot,Edit WIP,Ready,Published,Not picked"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0"/>
    <col customWidth="1" min="3" max="3" width="21.13"/>
    <col customWidth="1" min="4" max="4" width="21.5"/>
    <col customWidth="1" min="5" max="5" width="22.0"/>
  </cols>
  <sheetData>
    <row r="1">
      <c r="A1" s="62" t="s">
        <v>219</v>
      </c>
      <c r="B1" s="62" t="s">
        <v>220</v>
      </c>
      <c r="C1" s="62" t="s">
        <v>221</v>
      </c>
      <c r="D1" s="62" t="s">
        <v>3</v>
      </c>
      <c r="E1" s="62" t="s">
        <v>222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</row>
    <row r="2">
      <c r="A2" s="64">
        <v>46090.0</v>
      </c>
      <c r="B2" s="65" t="s">
        <v>223</v>
      </c>
      <c r="C2" s="65" t="s">
        <v>2</v>
      </c>
      <c r="D2" s="65" t="s">
        <v>224</v>
      </c>
      <c r="E2" s="66" t="s">
        <v>225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</row>
    <row r="3">
      <c r="A3" s="67">
        <v>46091.0</v>
      </c>
      <c r="B3" s="63" t="s">
        <v>226</v>
      </c>
      <c r="C3" s="63" t="s">
        <v>227</v>
      </c>
      <c r="D3" s="63" t="s">
        <v>224</v>
      </c>
      <c r="E3" s="68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</row>
    <row r="4">
      <c r="A4" s="67">
        <v>46091.0</v>
      </c>
      <c r="B4" s="63" t="s">
        <v>228</v>
      </c>
      <c r="C4" s="63" t="s">
        <v>2</v>
      </c>
      <c r="D4" s="63" t="s">
        <v>229</v>
      </c>
      <c r="E4" s="68" t="s">
        <v>225</v>
      </c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</row>
    <row r="5">
      <c r="A5" s="69">
        <v>46092.0</v>
      </c>
      <c r="B5" s="70" t="s">
        <v>230</v>
      </c>
      <c r="C5" s="71" t="s">
        <v>231</v>
      </c>
      <c r="D5" s="71" t="s">
        <v>229</v>
      </c>
      <c r="E5" s="72" t="s">
        <v>232</v>
      </c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</row>
    <row r="6">
      <c r="A6" s="64">
        <v>46093.0</v>
      </c>
      <c r="B6" s="65" t="s">
        <v>230</v>
      </c>
      <c r="C6" s="65" t="s">
        <v>2</v>
      </c>
      <c r="D6" s="65"/>
      <c r="E6" s="66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</row>
    <row r="7">
      <c r="A7" s="67">
        <v>46094.0</v>
      </c>
      <c r="B7" s="63" t="s">
        <v>233</v>
      </c>
      <c r="C7" s="63" t="s">
        <v>227</v>
      </c>
      <c r="D7" s="63"/>
      <c r="E7" s="68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</row>
    <row r="8">
      <c r="A8" s="67">
        <v>46094.0</v>
      </c>
      <c r="B8" s="63" t="s">
        <v>234</v>
      </c>
      <c r="C8" s="63" t="s">
        <v>2</v>
      </c>
      <c r="D8" s="63"/>
      <c r="E8" s="68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</row>
    <row r="9">
      <c r="A9" s="69">
        <v>46095.0</v>
      </c>
      <c r="B9" s="70" t="s">
        <v>235</v>
      </c>
      <c r="C9" s="71" t="s">
        <v>231</v>
      </c>
      <c r="D9" s="71" t="s">
        <v>229</v>
      </c>
      <c r="E9" s="72" t="s">
        <v>225</v>
      </c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</row>
    <row r="10">
      <c r="A10" s="64">
        <v>46096.0</v>
      </c>
      <c r="B10" s="65" t="s">
        <v>236</v>
      </c>
      <c r="C10" s="65" t="s">
        <v>2</v>
      </c>
      <c r="D10" s="65"/>
      <c r="E10" s="66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</row>
    <row r="11">
      <c r="A11" s="67">
        <v>46097.0</v>
      </c>
      <c r="B11" s="63" t="s">
        <v>237</v>
      </c>
      <c r="C11" s="63" t="s">
        <v>227</v>
      </c>
      <c r="D11" s="63"/>
      <c r="E11" s="68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</row>
    <row r="12">
      <c r="A12" s="67">
        <v>46097.0</v>
      </c>
      <c r="B12" s="63" t="s">
        <v>238</v>
      </c>
      <c r="C12" s="63" t="s">
        <v>2</v>
      </c>
      <c r="D12" s="63"/>
      <c r="E12" s="68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</row>
    <row r="13">
      <c r="A13" s="67">
        <v>46098.0</v>
      </c>
      <c r="B13" s="63" t="s">
        <v>239</v>
      </c>
      <c r="C13" s="63" t="s">
        <v>2</v>
      </c>
      <c r="D13" s="63"/>
      <c r="E13" s="68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</row>
    <row r="14">
      <c r="A14" s="69">
        <v>46099.0</v>
      </c>
      <c r="B14" s="70" t="s">
        <v>240</v>
      </c>
      <c r="C14" s="71" t="s">
        <v>231</v>
      </c>
      <c r="D14" s="71" t="s">
        <v>229</v>
      </c>
      <c r="E14" s="72" t="s">
        <v>225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</row>
    <row r="15">
      <c r="A15" s="64">
        <v>46100.0</v>
      </c>
      <c r="B15" s="65" t="s">
        <v>239</v>
      </c>
      <c r="C15" s="65" t="s">
        <v>2</v>
      </c>
      <c r="D15" s="65"/>
      <c r="E15" s="66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</row>
    <row r="16">
      <c r="A16" s="67">
        <v>46101.0</v>
      </c>
      <c r="B16" s="63" t="s">
        <v>237</v>
      </c>
      <c r="C16" s="63" t="s">
        <v>227</v>
      </c>
      <c r="D16" s="63"/>
      <c r="E16" s="68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</row>
    <row r="17">
      <c r="A17" s="67">
        <v>46101.0</v>
      </c>
      <c r="B17" s="63" t="s">
        <v>241</v>
      </c>
      <c r="C17" s="63" t="s">
        <v>2</v>
      </c>
      <c r="D17" s="63"/>
      <c r="E17" s="68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</row>
    <row r="18">
      <c r="A18" s="69">
        <v>46102.0</v>
      </c>
      <c r="B18" s="70" t="s">
        <v>169</v>
      </c>
      <c r="C18" s="71" t="s">
        <v>231</v>
      </c>
      <c r="D18" s="71" t="s">
        <v>115</v>
      </c>
      <c r="E18" s="72" t="s">
        <v>232</v>
      </c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</row>
    <row r="19">
      <c r="A19" s="64">
        <v>46103.0</v>
      </c>
      <c r="B19" s="65" t="s">
        <v>239</v>
      </c>
      <c r="C19" s="65" t="s">
        <v>2</v>
      </c>
      <c r="D19" s="65"/>
      <c r="E19" s="66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</row>
    <row r="20">
      <c r="A20" s="67">
        <v>46104.0</v>
      </c>
      <c r="B20" s="63" t="s">
        <v>239</v>
      </c>
      <c r="C20" s="63" t="s">
        <v>2</v>
      </c>
      <c r="D20" s="63"/>
      <c r="E20" s="68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</row>
    <row r="21">
      <c r="A21" s="67">
        <v>46105.0</v>
      </c>
      <c r="B21" s="63" t="s">
        <v>242</v>
      </c>
      <c r="C21" s="63" t="s">
        <v>227</v>
      </c>
      <c r="D21" s="63"/>
      <c r="E21" s="68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</row>
    <row r="22">
      <c r="A22" s="67">
        <v>46105.0</v>
      </c>
      <c r="B22" s="63" t="s">
        <v>241</v>
      </c>
      <c r="C22" s="63" t="s">
        <v>2</v>
      </c>
      <c r="D22" s="63"/>
      <c r="E22" s="68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</row>
    <row r="23">
      <c r="A23" s="69">
        <v>46106.0</v>
      </c>
      <c r="B23" s="70" t="s">
        <v>243</v>
      </c>
      <c r="C23" s="71" t="s">
        <v>231</v>
      </c>
      <c r="D23" s="71" t="s">
        <v>229</v>
      </c>
      <c r="E23" s="72" t="s">
        <v>232</v>
      </c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</row>
    <row r="24">
      <c r="A24" s="64">
        <v>46107.0</v>
      </c>
      <c r="B24" s="65" t="s">
        <v>2</v>
      </c>
      <c r="C24" s="65" t="s">
        <v>2</v>
      </c>
      <c r="D24" s="65"/>
      <c r="E24" s="66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</row>
    <row r="25">
      <c r="A25" s="67">
        <v>46108.0</v>
      </c>
      <c r="B25" s="63" t="s">
        <v>244</v>
      </c>
      <c r="C25" s="63" t="s">
        <v>227</v>
      </c>
      <c r="D25" s="63"/>
      <c r="E25" s="68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</row>
    <row r="26">
      <c r="A26" s="67">
        <v>46108.0</v>
      </c>
      <c r="B26" s="63" t="s">
        <v>238</v>
      </c>
      <c r="C26" s="63" t="s">
        <v>2</v>
      </c>
      <c r="D26" s="63"/>
      <c r="E26" s="68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</row>
    <row r="27">
      <c r="A27" s="69">
        <v>46109.0</v>
      </c>
      <c r="B27" s="70" t="s">
        <v>245</v>
      </c>
      <c r="C27" s="71" t="s">
        <v>231</v>
      </c>
      <c r="D27" s="71" t="s">
        <v>218</v>
      </c>
      <c r="E27" s="72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</row>
    <row r="28">
      <c r="A28" s="64">
        <v>46110.0</v>
      </c>
      <c r="B28" s="65" t="s">
        <v>239</v>
      </c>
      <c r="C28" s="65" t="s">
        <v>2</v>
      </c>
      <c r="D28" s="65"/>
      <c r="E28" s="66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</row>
    <row r="29">
      <c r="A29" s="67">
        <v>46111.0</v>
      </c>
      <c r="B29" s="63" t="s">
        <v>239</v>
      </c>
      <c r="C29" s="63" t="s">
        <v>2</v>
      </c>
      <c r="D29" s="63"/>
      <c r="E29" s="68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</row>
    <row r="30">
      <c r="A30" s="67">
        <v>46112.0</v>
      </c>
      <c r="B30" s="63" t="s">
        <v>227</v>
      </c>
      <c r="C30" s="63" t="s">
        <v>227</v>
      </c>
      <c r="D30" s="63"/>
      <c r="E30" s="68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</row>
    <row r="31">
      <c r="A31" s="69">
        <v>46113.0</v>
      </c>
      <c r="B31" s="70" t="s">
        <v>246</v>
      </c>
      <c r="C31" s="71" t="s">
        <v>231</v>
      </c>
      <c r="D31" s="71" t="s">
        <v>247</v>
      </c>
      <c r="E31" s="72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</row>
    <row r="32">
      <c r="A32" s="64">
        <v>46114.0</v>
      </c>
      <c r="B32" s="65" t="s">
        <v>239</v>
      </c>
      <c r="C32" s="65" t="s">
        <v>2</v>
      </c>
      <c r="D32" s="65"/>
      <c r="E32" s="66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</row>
    <row r="33">
      <c r="A33" s="67">
        <v>46115.0</v>
      </c>
      <c r="B33" s="63" t="s">
        <v>248</v>
      </c>
      <c r="C33" s="63" t="s">
        <v>227</v>
      </c>
      <c r="D33" s="63"/>
      <c r="E33" s="68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</row>
    <row r="34">
      <c r="A34" s="67">
        <v>46115.0</v>
      </c>
      <c r="B34" s="63" t="s">
        <v>238</v>
      </c>
      <c r="C34" s="63" t="s">
        <v>2</v>
      </c>
      <c r="D34" s="63"/>
      <c r="E34" s="68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</row>
    <row r="35">
      <c r="A35" s="69">
        <v>46116.0</v>
      </c>
      <c r="B35" s="70" t="s">
        <v>249</v>
      </c>
      <c r="C35" s="71" t="s">
        <v>231</v>
      </c>
      <c r="D35" s="71" t="s">
        <v>247</v>
      </c>
      <c r="E35" s="72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</row>
    <row r="36">
      <c r="A36" s="64">
        <v>46117.0</v>
      </c>
      <c r="B36" s="65"/>
      <c r="C36" s="65"/>
      <c r="D36" s="65"/>
      <c r="E36" s="66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</row>
    <row r="37">
      <c r="A37" s="67">
        <v>46118.0</v>
      </c>
      <c r="B37" s="63"/>
      <c r="C37" s="63"/>
      <c r="D37" s="63"/>
      <c r="E37" s="68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</row>
    <row r="38">
      <c r="A38" s="67">
        <v>46119.0</v>
      </c>
      <c r="B38" s="63"/>
      <c r="C38" s="63"/>
      <c r="D38" s="63"/>
      <c r="E38" s="68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</row>
    <row r="39">
      <c r="A39" s="69">
        <v>46120.0</v>
      </c>
      <c r="B39" s="70" t="s">
        <v>250</v>
      </c>
      <c r="C39" s="71" t="s">
        <v>231</v>
      </c>
      <c r="D39" s="71" t="s">
        <v>247</v>
      </c>
      <c r="E39" s="72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</row>
    <row r="40">
      <c r="A40" s="64">
        <v>46121.0</v>
      </c>
      <c r="B40" s="65"/>
      <c r="C40" s="65"/>
      <c r="D40" s="65"/>
      <c r="E40" s="66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</row>
    <row r="41">
      <c r="A41" s="67">
        <v>46122.0</v>
      </c>
      <c r="B41" s="63"/>
      <c r="C41" s="63"/>
      <c r="D41" s="63"/>
      <c r="E41" s="68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</row>
    <row r="42">
      <c r="A42" s="69">
        <v>46123.0</v>
      </c>
      <c r="B42" s="70" t="s">
        <v>251</v>
      </c>
      <c r="C42" s="71" t="s">
        <v>231</v>
      </c>
      <c r="D42" s="71" t="s">
        <v>247</v>
      </c>
      <c r="E42" s="72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</row>
    <row r="43">
      <c r="A43" s="64">
        <v>46124.0</v>
      </c>
      <c r="B43" s="65"/>
      <c r="C43" s="65"/>
      <c r="D43" s="65"/>
      <c r="E43" s="66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</row>
    <row r="44">
      <c r="A44" s="67">
        <v>46125.0</v>
      </c>
      <c r="B44" s="63"/>
      <c r="C44" s="63"/>
      <c r="D44" s="63"/>
      <c r="E44" s="68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</row>
    <row r="45">
      <c r="A45" s="67">
        <v>46126.0</v>
      </c>
      <c r="B45" s="63"/>
      <c r="C45" s="63"/>
      <c r="D45" s="63"/>
      <c r="E45" s="68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</row>
    <row r="46">
      <c r="A46" s="69">
        <v>46127.0</v>
      </c>
      <c r="B46" s="70"/>
      <c r="C46" s="71" t="s">
        <v>231</v>
      </c>
      <c r="D46" s="71"/>
      <c r="E46" s="72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</row>
    <row r="47">
      <c r="A47" s="64">
        <v>46128.0</v>
      </c>
      <c r="B47" s="65"/>
      <c r="C47" s="65"/>
      <c r="D47" s="65"/>
      <c r="E47" s="66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</row>
    <row r="48">
      <c r="A48" s="67">
        <v>46129.0</v>
      </c>
      <c r="B48" s="63"/>
      <c r="C48" s="63"/>
      <c r="D48" s="63"/>
      <c r="E48" s="68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</row>
    <row r="49">
      <c r="A49" s="69">
        <v>46130.0</v>
      </c>
      <c r="B49" s="70"/>
      <c r="C49" s="71" t="s">
        <v>231</v>
      </c>
      <c r="D49" s="71"/>
      <c r="E49" s="72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</row>
    <row r="50">
      <c r="A50" s="64">
        <v>46131.0</v>
      </c>
      <c r="B50" s="65"/>
      <c r="C50" s="65"/>
      <c r="D50" s="65"/>
      <c r="E50" s="66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</row>
    <row r="51">
      <c r="A51" s="67">
        <v>46132.0</v>
      </c>
      <c r="B51" s="63"/>
      <c r="C51" s="63"/>
      <c r="D51" s="63"/>
      <c r="E51" s="68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</row>
    <row r="52">
      <c r="A52" s="67">
        <v>46133.0</v>
      </c>
      <c r="B52" s="63"/>
      <c r="C52" s="63"/>
      <c r="D52" s="63"/>
      <c r="E52" s="68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</row>
    <row r="53">
      <c r="A53" s="69">
        <v>46134.0</v>
      </c>
      <c r="B53" s="70"/>
      <c r="C53" s="71" t="s">
        <v>231</v>
      </c>
      <c r="D53" s="71"/>
      <c r="E53" s="72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</row>
    <row r="54">
      <c r="A54" s="64">
        <v>46135.0</v>
      </c>
      <c r="B54" s="65"/>
      <c r="C54" s="65"/>
      <c r="D54" s="65"/>
      <c r="E54" s="66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</row>
    <row r="55">
      <c r="A55" s="67">
        <v>46136.0</v>
      </c>
      <c r="B55" s="63"/>
      <c r="C55" s="63"/>
      <c r="D55" s="63"/>
      <c r="E55" s="68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</row>
    <row r="56">
      <c r="A56" s="69">
        <v>46137.0</v>
      </c>
      <c r="B56" s="70"/>
      <c r="C56" s="71" t="s">
        <v>231</v>
      </c>
      <c r="D56" s="71"/>
      <c r="E56" s="72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</row>
    <row r="57">
      <c r="A57" s="64">
        <v>46138.0</v>
      </c>
      <c r="B57" s="65"/>
      <c r="C57" s="65"/>
      <c r="D57" s="65"/>
      <c r="E57" s="66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</row>
    <row r="58">
      <c r="A58" s="67">
        <v>46139.0</v>
      </c>
      <c r="B58" s="63"/>
      <c r="C58" s="63"/>
      <c r="D58" s="63"/>
      <c r="E58" s="68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</row>
    <row r="59">
      <c r="A59" s="67">
        <v>46140.0</v>
      </c>
      <c r="B59" s="63"/>
      <c r="C59" s="63"/>
      <c r="D59" s="63"/>
      <c r="E59" s="68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</row>
    <row r="60">
      <c r="A60" s="69">
        <v>46141.0</v>
      </c>
      <c r="B60" s="70"/>
      <c r="C60" s="71" t="s">
        <v>231</v>
      </c>
      <c r="D60" s="71"/>
      <c r="E60" s="72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</row>
    <row r="61">
      <c r="A61" s="73">
        <v>46142.0</v>
      </c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</row>
    <row r="62">
      <c r="A62" s="74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</row>
    <row r="63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</row>
    <row r="94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</row>
    <row r="946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</row>
    <row r="947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</row>
    <row r="948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</row>
    <row r="949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</row>
    <row r="950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</row>
    <row r="95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</row>
    <row r="952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</row>
    <row r="953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</row>
    <row r="954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</row>
    <row r="95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</row>
    <row r="956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</row>
    <row r="957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</row>
    <row r="958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</row>
    <row r="959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</row>
    <row r="960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</row>
    <row r="96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</row>
    <row r="962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</row>
    <row r="963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</row>
    <row r="964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</row>
    <row r="96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</row>
    <row r="966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</row>
    <row r="967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</row>
    <row r="968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</row>
    <row r="969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</row>
    <row r="970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</row>
    <row r="97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</row>
    <row r="972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</row>
    <row r="973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</row>
    <row r="974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</row>
    <row r="97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</row>
    <row r="976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</row>
    <row r="977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</row>
    <row r="978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</row>
    <row r="979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</row>
    <row r="980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</row>
    <row r="98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</row>
    <row r="982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</row>
    <row r="983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</row>
    <row r="984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</row>
    <row r="98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</row>
    <row r="986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</row>
    <row r="987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</row>
    <row r="988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</row>
    <row r="989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</row>
    <row r="990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</row>
    <row r="99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</row>
    <row r="992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</row>
    <row r="993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</row>
    <row r="994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</row>
    <row r="995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</row>
    <row r="996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</row>
    <row r="997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</row>
    <row r="998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</row>
    <row r="999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</row>
    <row r="1000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</row>
    <row r="1001">
      <c r="A1001" s="63"/>
      <c r="B1001" s="63"/>
      <c r="C1001" s="63"/>
      <c r="D1001" s="63"/>
      <c r="E1001" s="63"/>
      <c r="F1001" s="63"/>
      <c r="G1001" s="63"/>
      <c r="H1001" s="63"/>
      <c r="I1001" s="63"/>
      <c r="J1001" s="63"/>
      <c r="K1001" s="63"/>
      <c r="L1001" s="63"/>
      <c r="M1001" s="63"/>
      <c r="N1001" s="63"/>
      <c r="O1001" s="63"/>
      <c r="P1001" s="63"/>
      <c r="Q1001" s="63"/>
      <c r="R1001" s="63"/>
      <c r="S1001" s="63"/>
      <c r="T1001" s="63"/>
      <c r="U1001" s="63"/>
      <c r="V1001" s="63"/>
      <c r="W1001" s="63"/>
      <c r="X1001" s="63"/>
      <c r="Y1001" s="63"/>
    </row>
    <row r="1002">
      <c r="A1002" s="63"/>
      <c r="B1002" s="63"/>
      <c r="C1002" s="63"/>
      <c r="D1002" s="63"/>
      <c r="E1002" s="63"/>
      <c r="F1002" s="63"/>
      <c r="G1002" s="63"/>
      <c r="H1002" s="63"/>
      <c r="I1002" s="63"/>
      <c r="J1002" s="63"/>
      <c r="K1002" s="63"/>
      <c r="L1002" s="63"/>
      <c r="M1002" s="63"/>
      <c r="N1002" s="63"/>
      <c r="O1002" s="63"/>
      <c r="P1002" s="63"/>
      <c r="Q1002" s="63"/>
      <c r="R1002" s="63"/>
      <c r="S1002" s="63"/>
      <c r="T1002" s="63"/>
      <c r="U1002" s="63"/>
      <c r="V1002" s="63"/>
      <c r="W1002" s="63"/>
      <c r="X1002" s="63"/>
      <c r="Y1002" s="63"/>
    </row>
    <row r="1003">
      <c r="A1003" s="63"/>
      <c r="B1003" s="63"/>
      <c r="C1003" s="63"/>
      <c r="D1003" s="63"/>
      <c r="E1003" s="63"/>
      <c r="F1003" s="63"/>
      <c r="G1003" s="63"/>
      <c r="H1003" s="63"/>
      <c r="I1003" s="63"/>
      <c r="J1003" s="63"/>
      <c r="K1003" s="63"/>
      <c r="L1003" s="63"/>
      <c r="M1003" s="63"/>
      <c r="N1003" s="63"/>
      <c r="O1003" s="63"/>
      <c r="P1003" s="63"/>
      <c r="Q1003" s="63"/>
      <c r="R1003" s="63"/>
      <c r="S1003" s="63"/>
      <c r="T1003" s="63"/>
      <c r="U1003" s="63"/>
      <c r="V1003" s="63"/>
      <c r="W1003" s="63"/>
      <c r="X1003" s="63"/>
      <c r="Y1003" s="63"/>
    </row>
    <row r="1004">
      <c r="A1004" s="63"/>
      <c r="B1004" s="63"/>
      <c r="C1004" s="63"/>
      <c r="D1004" s="63"/>
      <c r="E1004" s="63"/>
      <c r="F1004" s="63"/>
      <c r="G1004" s="63"/>
      <c r="H1004" s="63"/>
      <c r="I1004" s="63"/>
      <c r="J1004" s="63"/>
      <c r="K1004" s="63"/>
      <c r="L1004" s="63"/>
      <c r="M1004" s="63"/>
      <c r="N1004" s="63"/>
      <c r="O1004" s="63"/>
      <c r="P1004" s="63"/>
      <c r="Q1004" s="63"/>
      <c r="R1004" s="63"/>
      <c r="S1004" s="63"/>
      <c r="T1004" s="63"/>
      <c r="U1004" s="63"/>
      <c r="V1004" s="63"/>
      <c r="W1004" s="63"/>
      <c r="X1004" s="63"/>
      <c r="Y1004" s="63"/>
    </row>
    <row r="1005">
      <c r="A1005" s="63"/>
      <c r="B1005" s="63"/>
      <c r="C1005" s="63"/>
      <c r="D1005" s="63"/>
      <c r="E1005" s="63"/>
      <c r="F1005" s="63"/>
      <c r="G1005" s="63"/>
      <c r="H1005" s="63"/>
      <c r="I1005" s="63"/>
      <c r="J1005" s="63"/>
      <c r="K1005" s="63"/>
      <c r="L1005" s="63"/>
      <c r="M1005" s="63"/>
      <c r="N1005" s="63"/>
      <c r="O1005" s="63"/>
      <c r="P1005" s="63"/>
      <c r="Q1005" s="63"/>
      <c r="R1005" s="63"/>
      <c r="S1005" s="63"/>
      <c r="T1005" s="63"/>
      <c r="U1005" s="63"/>
      <c r="V1005" s="63"/>
      <c r="W1005" s="63"/>
      <c r="X1005" s="63"/>
      <c r="Y1005" s="63"/>
    </row>
    <row r="1006">
      <c r="A1006" s="63"/>
      <c r="B1006" s="63"/>
      <c r="C1006" s="63"/>
      <c r="D1006" s="63"/>
      <c r="E1006" s="63"/>
      <c r="F1006" s="63"/>
      <c r="G1006" s="63"/>
      <c r="H1006" s="63"/>
      <c r="I1006" s="63"/>
      <c r="J1006" s="63"/>
      <c r="K1006" s="63"/>
      <c r="L1006" s="63"/>
      <c r="M1006" s="63"/>
      <c r="N1006" s="63"/>
      <c r="O1006" s="63"/>
      <c r="P1006" s="63"/>
      <c r="Q1006" s="63"/>
      <c r="R1006" s="63"/>
      <c r="S1006" s="63"/>
      <c r="T1006" s="63"/>
      <c r="U1006" s="63"/>
      <c r="V1006" s="63"/>
      <c r="W1006" s="63"/>
      <c r="X1006" s="63"/>
      <c r="Y1006" s="63"/>
    </row>
    <row r="1007">
      <c r="A1007" s="63"/>
      <c r="B1007" s="63"/>
      <c r="C1007" s="63"/>
      <c r="D1007" s="63"/>
      <c r="E1007" s="63"/>
      <c r="F1007" s="63"/>
      <c r="G1007" s="63"/>
      <c r="H1007" s="63"/>
      <c r="I1007" s="63"/>
      <c r="J1007" s="63"/>
      <c r="K1007" s="63"/>
      <c r="L1007" s="63"/>
      <c r="M1007" s="63"/>
      <c r="N1007" s="63"/>
      <c r="O1007" s="63"/>
      <c r="P1007" s="63"/>
      <c r="Q1007" s="63"/>
      <c r="R1007" s="63"/>
      <c r="S1007" s="63"/>
      <c r="T1007" s="63"/>
      <c r="U1007" s="63"/>
      <c r="V1007" s="63"/>
      <c r="W1007" s="63"/>
      <c r="X1007" s="63"/>
      <c r="Y1007" s="63"/>
    </row>
  </sheetData>
  <dataValidations>
    <dataValidation type="list" allowBlank="1" showErrorMessage="1" sqref="E2:E61">
      <formula1>"Mango,Shubh"</formula1>
    </dataValidation>
    <dataValidation type="list" allowBlank="1" showErrorMessage="1" sqref="D2:D61">
      <formula1>"Research,Scripting,Shot,Editing,Live"</formula1>
    </dataValidation>
    <dataValidation type="list" allowBlank="1" showErrorMessage="1" sqref="C2:C61">
      <formula1>"Long Form,Shorts,Poll"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9.75"/>
    <col customWidth="1" min="3" max="3" width="23.88"/>
    <col customWidth="1" min="4" max="4" width="16.25"/>
    <col customWidth="1" min="6" max="6" width="15.13"/>
    <col customWidth="1" min="7" max="7" width="13.63"/>
    <col customWidth="1" min="8" max="8" width="14.63"/>
    <col customWidth="1" min="10" max="10" width="7.13"/>
    <col customWidth="1" min="11" max="11" width="7.63"/>
    <col customWidth="1" min="12" max="12" width="13.63"/>
    <col customWidth="1" min="13" max="13" width="11.25"/>
    <col customWidth="1" min="14" max="14" width="10.63"/>
    <col customWidth="1" min="15" max="15" width="9.0"/>
  </cols>
  <sheetData>
    <row r="1" ht="22.5" customHeight="1">
      <c r="A1" s="2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252</v>
      </c>
      <c r="G1" s="3" t="s">
        <v>253</v>
      </c>
    </row>
    <row r="2">
      <c r="A2" s="75">
        <v>46029.0</v>
      </c>
      <c r="B2" s="76"/>
      <c r="C2" s="77" t="s">
        <v>254</v>
      </c>
      <c r="D2" s="21" t="s">
        <v>8</v>
      </c>
      <c r="F2" s="50" t="s">
        <v>255</v>
      </c>
    </row>
    <row r="3">
      <c r="A3" s="78">
        <v>46030.0</v>
      </c>
      <c r="B3" s="76" t="s">
        <v>256</v>
      </c>
      <c r="C3" s="79"/>
      <c r="D3" s="21" t="s">
        <v>8</v>
      </c>
      <c r="F3" s="50" t="s">
        <v>255</v>
      </c>
    </row>
    <row r="4">
      <c r="A4" s="78">
        <v>46032.0</v>
      </c>
      <c r="B4" s="55" t="s">
        <v>257</v>
      </c>
      <c r="C4" s="79"/>
      <c r="D4" s="21" t="s">
        <v>8</v>
      </c>
      <c r="F4" s="50" t="s">
        <v>255</v>
      </c>
    </row>
    <row r="5">
      <c r="A5" s="75">
        <v>46034.0</v>
      </c>
      <c r="B5" s="55"/>
      <c r="C5" s="77" t="s">
        <v>258</v>
      </c>
      <c r="D5" s="21" t="s">
        <v>8</v>
      </c>
      <c r="F5" s="50" t="s">
        <v>255</v>
      </c>
    </row>
    <row r="6">
      <c r="A6" s="75">
        <v>46035.0</v>
      </c>
      <c r="B6" s="55"/>
      <c r="C6" s="77" t="s">
        <v>259</v>
      </c>
      <c r="D6" s="21" t="s">
        <v>8</v>
      </c>
      <c r="F6" s="50" t="s">
        <v>255</v>
      </c>
    </row>
    <row r="7">
      <c r="A7" s="75">
        <v>46036.0</v>
      </c>
      <c r="B7" s="76"/>
      <c r="C7" s="77" t="s">
        <v>260</v>
      </c>
      <c r="D7" s="21" t="s">
        <v>8</v>
      </c>
      <c r="F7" s="50" t="s">
        <v>255</v>
      </c>
    </row>
    <row r="8">
      <c r="A8" s="78">
        <v>46036.0</v>
      </c>
      <c r="B8" s="76" t="s">
        <v>261</v>
      </c>
      <c r="C8" s="80"/>
      <c r="D8" s="21" t="s">
        <v>8</v>
      </c>
      <c r="F8" s="50" t="s">
        <v>255</v>
      </c>
    </row>
    <row r="9">
      <c r="A9" s="75">
        <v>46039.0</v>
      </c>
      <c r="B9" s="76"/>
      <c r="C9" s="77" t="s">
        <v>262</v>
      </c>
      <c r="D9" s="21" t="s">
        <v>8</v>
      </c>
      <c r="F9" s="50" t="s">
        <v>255</v>
      </c>
    </row>
    <row r="10">
      <c r="A10" s="75">
        <v>46041.0</v>
      </c>
      <c r="B10" s="76"/>
      <c r="C10" s="77" t="s">
        <v>263</v>
      </c>
      <c r="D10" s="21" t="s">
        <v>8</v>
      </c>
      <c r="F10" s="50" t="s">
        <v>264</v>
      </c>
    </row>
    <row r="11">
      <c r="A11" s="75">
        <v>46042.0</v>
      </c>
      <c r="B11" s="76"/>
      <c r="C11" s="77" t="s">
        <v>265</v>
      </c>
      <c r="D11" s="21" t="s">
        <v>8</v>
      </c>
      <c r="F11" s="50" t="s">
        <v>255</v>
      </c>
    </row>
    <row r="12">
      <c r="A12" s="78">
        <v>46043.0</v>
      </c>
      <c r="B12" s="76" t="s">
        <v>266</v>
      </c>
      <c r="C12" s="80"/>
      <c r="D12" s="21" t="s">
        <v>8</v>
      </c>
      <c r="F12" s="50" t="s">
        <v>267</v>
      </c>
    </row>
    <row r="13">
      <c r="A13" s="75">
        <v>46044.0</v>
      </c>
      <c r="B13" s="79"/>
      <c r="C13" s="77" t="s">
        <v>268</v>
      </c>
      <c r="D13" s="21" t="s">
        <v>8</v>
      </c>
      <c r="F13" s="50" t="s">
        <v>267</v>
      </c>
    </row>
    <row r="14">
      <c r="A14" s="75">
        <v>46045.0</v>
      </c>
      <c r="B14" s="80"/>
      <c r="C14" s="77" t="s">
        <v>269</v>
      </c>
      <c r="D14" s="21" t="s">
        <v>8</v>
      </c>
      <c r="F14" s="50" t="s">
        <v>267</v>
      </c>
    </row>
    <row r="15">
      <c r="A15" s="75">
        <v>46046.0</v>
      </c>
      <c r="B15" s="79"/>
      <c r="C15" s="79"/>
      <c r="D15" s="21"/>
    </row>
    <row r="16">
      <c r="A16" s="75">
        <v>46047.0</v>
      </c>
      <c r="B16" s="79"/>
      <c r="C16" s="79"/>
      <c r="D16" s="21"/>
    </row>
    <row r="17">
      <c r="A17" s="78">
        <v>46048.0</v>
      </c>
      <c r="B17" s="55" t="s">
        <v>270</v>
      </c>
      <c r="C17" s="80"/>
      <c r="D17" s="21" t="s">
        <v>8</v>
      </c>
      <c r="F17" s="50" t="s">
        <v>267</v>
      </c>
    </row>
    <row r="18">
      <c r="A18" s="75">
        <v>46049.0</v>
      </c>
      <c r="B18" s="79"/>
      <c r="C18" s="77" t="s">
        <v>171</v>
      </c>
      <c r="D18" s="21" t="s">
        <v>115</v>
      </c>
      <c r="F18" s="50" t="s">
        <v>267</v>
      </c>
    </row>
    <row r="19">
      <c r="A19" s="81">
        <v>46050.0</v>
      </c>
      <c r="B19" s="82"/>
      <c r="C19" s="82"/>
      <c r="D19" s="83"/>
      <c r="E19" s="84"/>
      <c r="F19" s="84"/>
    </row>
    <row r="20">
      <c r="A20" s="75">
        <v>46054.0</v>
      </c>
      <c r="B20" s="79"/>
      <c r="C20" s="77" t="s">
        <v>271</v>
      </c>
      <c r="D20" s="21" t="s">
        <v>8</v>
      </c>
      <c r="F20" s="50" t="s">
        <v>267</v>
      </c>
    </row>
    <row r="21">
      <c r="A21" s="78">
        <v>46055.0</v>
      </c>
      <c r="B21" s="76" t="s">
        <v>272</v>
      </c>
      <c r="D21" s="21" t="s">
        <v>8</v>
      </c>
      <c r="F21" s="50" t="s">
        <v>267</v>
      </c>
      <c r="G21" s="50" t="s">
        <v>273</v>
      </c>
    </row>
    <row r="22">
      <c r="A22" s="75">
        <v>46056.0</v>
      </c>
      <c r="B22" s="80"/>
      <c r="C22" s="77" t="s">
        <v>274</v>
      </c>
      <c r="D22" s="21" t="s">
        <v>8</v>
      </c>
      <c r="F22" s="50" t="s">
        <v>255</v>
      </c>
    </row>
    <row r="23">
      <c r="A23" s="75">
        <v>46057.0</v>
      </c>
      <c r="B23" s="80"/>
      <c r="C23" s="77" t="s">
        <v>275</v>
      </c>
      <c r="D23" s="21" t="s">
        <v>8</v>
      </c>
      <c r="F23" s="50" t="s">
        <v>267</v>
      </c>
    </row>
    <row r="24">
      <c r="A24" s="78">
        <v>46060.0</v>
      </c>
      <c r="B24" s="76" t="s">
        <v>276</v>
      </c>
      <c r="C24" s="79"/>
      <c r="D24" s="21" t="s">
        <v>8</v>
      </c>
      <c r="F24" s="50" t="s">
        <v>267</v>
      </c>
    </row>
    <row r="25">
      <c r="A25" s="75">
        <v>46062.0</v>
      </c>
      <c r="B25" s="76" t="s">
        <v>277</v>
      </c>
      <c r="D25" s="21" t="s">
        <v>8</v>
      </c>
      <c r="F25" s="50" t="s">
        <v>267</v>
      </c>
    </row>
    <row r="26">
      <c r="A26" s="75">
        <v>46062.0</v>
      </c>
      <c r="B26" s="76" t="s">
        <v>278</v>
      </c>
      <c r="D26" s="21" t="s">
        <v>8</v>
      </c>
      <c r="F26" s="50" t="s">
        <v>255</v>
      </c>
    </row>
    <row r="27">
      <c r="A27" s="75">
        <v>46063.0</v>
      </c>
      <c r="B27" s="80"/>
      <c r="C27" s="77" t="s">
        <v>279</v>
      </c>
      <c r="D27" s="21" t="s">
        <v>8</v>
      </c>
      <c r="F27" s="50" t="s">
        <v>267</v>
      </c>
    </row>
    <row r="28">
      <c r="A28" s="75">
        <v>46064.0</v>
      </c>
      <c r="B28" s="79"/>
      <c r="C28" s="83" t="s">
        <v>280</v>
      </c>
      <c r="D28" s="21" t="s">
        <v>30</v>
      </c>
      <c r="F28" s="50" t="s">
        <v>267</v>
      </c>
    </row>
    <row r="29">
      <c r="A29" s="78">
        <v>46064.0</v>
      </c>
      <c r="B29" s="5" t="s">
        <v>120</v>
      </c>
      <c r="C29" s="85"/>
      <c r="D29" s="21" t="s">
        <v>8</v>
      </c>
      <c r="F29" s="50" t="s">
        <v>267</v>
      </c>
      <c r="G29" s="50" t="s">
        <v>281</v>
      </c>
    </row>
    <row r="30">
      <c r="A30" s="75">
        <v>46065.0</v>
      </c>
      <c r="B30" s="86"/>
      <c r="D30" s="21" t="s">
        <v>115</v>
      </c>
      <c r="F30" s="50" t="s">
        <v>255</v>
      </c>
    </row>
    <row r="31">
      <c r="A31" s="75">
        <v>46066.0</v>
      </c>
      <c r="B31" s="85"/>
      <c r="C31" s="21" t="s">
        <v>282</v>
      </c>
      <c r="D31" s="21" t="s">
        <v>115</v>
      </c>
      <c r="F31" s="50" t="s">
        <v>267</v>
      </c>
      <c r="G31" s="50" t="s">
        <v>283</v>
      </c>
    </row>
    <row r="32">
      <c r="A32" s="78">
        <v>46070.0</v>
      </c>
      <c r="B32" s="76" t="s">
        <v>284</v>
      </c>
      <c r="D32" s="21" t="s">
        <v>8</v>
      </c>
      <c r="F32" s="50" t="s">
        <v>255</v>
      </c>
    </row>
    <row r="33">
      <c r="A33" s="75"/>
      <c r="B33" s="80"/>
      <c r="C33" s="50" t="s">
        <v>285</v>
      </c>
      <c r="D33" s="21" t="s">
        <v>8</v>
      </c>
    </row>
    <row r="34">
      <c r="A34" s="75">
        <v>46071.0</v>
      </c>
      <c r="B34" s="80"/>
      <c r="C34" s="50" t="s">
        <v>286</v>
      </c>
      <c r="D34" s="21" t="s">
        <v>30</v>
      </c>
    </row>
    <row r="35">
      <c r="A35" s="75">
        <v>46072.0</v>
      </c>
      <c r="B35" s="79"/>
    </row>
    <row r="36">
      <c r="A36" s="78">
        <v>46074.0</v>
      </c>
      <c r="B36" s="76" t="s">
        <v>287</v>
      </c>
      <c r="C36" s="79"/>
      <c r="D36" s="21" t="s">
        <v>8</v>
      </c>
      <c r="F36" s="50" t="s">
        <v>255</v>
      </c>
      <c r="G36" s="50" t="s">
        <v>288</v>
      </c>
    </row>
    <row r="37">
      <c r="A37" s="78"/>
      <c r="B37" s="76"/>
      <c r="C37" s="77" t="s">
        <v>289</v>
      </c>
      <c r="D37" s="21" t="s">
        <v>8</v>
      </c>
      <c r="F37" s="50"/>
      <c r="G37" s="50"/>
    </row>
    <row r="38">
      <c r="A38" s="78"/>
      <c r="B38" s="76"/>
      <c r="C38" s="77" t="s">
        <v>290</v>
      </c>
      <c r="D38" s="21" t="s">
        <v>8</v>
      </c>
      <c r="F38" s="50"/>
      <c r="G38" s="50"/>
    </row>
    <row r="39">
      <c r="A39" s="75">
        <v>46075.0</v>
      </c>
      <c r="B39" s="79"/>
      <c r="C39" s="77" t="s">
        <v>291</v>
      </c>
      <c r="D39" s="21" t="s">
        <v>8</v>
      </c>
      <c r="F39" s="50" t="s">
        <v>255</v>
      </c>
      <c r="L39" s="50">
        <v>2500000.0</v>
      </c>
    </row>
    <row r="40">
      <c r="A40" s="75">
        <v>46076.0</v>
      </c>
      <c r="B40" s="79"/>
      <c r="C40" s="77" t="s">
        <v>292</v>
      </c>
      <c r="D40" s="21" t="s">
        <v>8</v>
      </c>
      <c r="F40" s="50" t="s">
        <v>267</v>
      </c>
      <c r="K40" s="50" t="s">
        <v>143</v>
      </c>
      <c r="L40" s="50">
        <v>476760.0</v>
      </c>
    </row>
    <row r="41">
      <c r="A41" s="75">
        <v>46077.0</v>
      </c>
      <c r="B41" s="76"/>
      <c r="C41" s="77" t="s">
        <v>293</v>
      </c>
      <c r="D41" s="21" t="s">
        <v>8</v>
      </c>
      <c r="F41" s="50" t="s">
        <v>267</v>
      </c>
      <c r="G41" s="50"/>
      <c r="H41" s="50"/>
      <c r="K41" s="50"/>
      <c r="L41" s="50"/>
    </row>
    <row r="42">
      <c r="A42" s="75">
        <v>46077.0</v>
      </c>
      <c r="B42" s="76"/>
      <c r="C42" s="21" t="s">
        <v>294</v>
      </c>
      <c r="D42" s="21" t="s">
        <v>8</v>
      </c>
      <c r="F42" s="50" t="s">
        <v>295</v>
      </c>
      <c r="G42" s="50"/>
      <c r="H42" s="50"/>
      <c r="K42" s="50"/>
      <c r="L42" s="50"/>
    </row>
    <row r="43">
      <c r="A43" s="75">
        <v>46078.0</v>
      </c>
      <c r="B43" s="76"/>
      <c r="C43" s="77" t="s">
        <v>296</v>
      </c>
      <c r="D43" s="21" t="s">
        <v>8</v>
      </c>
      <c r="F43" s="50" t="s">
        <v>267</v>
      </c>
      <c r="G43" s="50"/>
      <c r="H43" s="50"/>
      <c r="K43" s="50"/>
      <c r="L43" s="50"/>
    </row>
    <row r="44">
      <c r="A44" s="78">
        <v>46078.0</v>
      </c>
      <c r="B44" s="5" t="s">
        <v>297</v>
      </c>
      <c r="D44" s="21" t="s">
        <v>8</v>
      </c>
      <c r="F44" s="50" t="s">
        <v>267</v>
      </c>
      <c r="G44" s="50" t="s">
        <v>298</v>
      </c>
      <c r="H44" s="50" t="s">
        <v>283</v>
      </c>
      <c r="K44" s="50" t="s">
        <v>144</v>
      </c>
      <c r="L44" s="50">
        <v>402200.0</v>
      </c>
    </row>
    <row r="45">
      <c r="A45" s="75">
        <v>46080.0</v>
      </c>
      <c r="C45" s="21" t="s">
        <v>299</v>
      </c>
      <c r="D45" s="21" t="s">
        <v>8</v>
      </c>
      <c r="F45" s="50" t="s">
        <v>295</v>
      </c>
      <c r="K45" s="50"/>
    </row>
    <row r="46">
      <c r="A46" s="75">
        <v>46080.0</v>
      </c>
      <c r="C46" s="21" t="s">
        <v>300</v>
      </c>
      <c r="D46" s="21" t="s">
        <v>8</v>
      </c>
      <c r="F46" s="50" t="s">
        <v>255</v>
      </c>
    </row>
    <row r="47">
      <c r="A47" s="75">
        <v>46081.0</v>
      </c>
      <c r="C47" s="50" t="s">
        <v>301</v>
      </c>
      <c r="D47" s="21" t="s">
        <v>8</v>
      </c>
      <c r="F47" s="50" t="s">
        <v>255</v>
      </c>
    </row>
    <row r="48">
      <c r="A48" s="78">
        <v>46081.0</v>
      </c>
      <c r="B48" s="76" t="s">
        <v>302</v>
      </c>
      <c r="D48" s="21" t="s">
        <v>8</v>
      </c>
      <c r="F48" s="50" t="s">
        <v>255</v>
      </c>
      <c r="G48" s="50" t="s">
        <v>303</v>
      </c>
      <c r="H48" s="50" t="s">
        <v>283</v>
      </c>
    </row>
    <row r="49">
      <c r="A49" s="75">
        <v>46082.0</v>
      </c>
      <c r="C49" s="21" t="s">
        <v>304</v>
      </c>
      <c r="D49" s="21" t="s">
        <v>8</v>
      </c>
      <c r="F49" s="50" t="s">
        <v>267</v>
      </c>
    </row>
    <row r="50">
      <c r="A50" s="75">
        <v>46086.0</v>
      </c>
      <c r="C50" s="21" t="s">
        <v>300</v>
      </c>
      <c r="D50" s="21" t="s">
        <v>8</v>
      </c>
      <c r="F50" s="50" t="s">
        <v>255</v>
      </c>
      <c r="M50" s="51"/>
      <c r="N50" s="51"/>
      <c r="O50" s="51"/>
    </row>
    <row r="51">
      <c r="A51" s="75">
        <v>46085.0</v>
      </c>
      <c r="B51" s="76"/>
      <c r="C51" s="87" t="s">
        <v>299</v>
      </c>
      <c r="D51" s="21"/>
      <c r="F51" s="50" t="s">
        <v>295</v>
      </c>
      <c r="G51" s="50"/>
      <c r="L51" s="50"/>
      <c r="M51" s="50"/>
      <c r="N51" s="50"/>
      <c r="O51" s="50"/>
    </row>
    <row r="52">
      <c r="A52" s="75">
        <v>46085.0</v>
      </c>
      <c r="B52" s="76"/>
      <c r="C52" s="50" t="s">
        <v>305</v>
      </c>
      <c r="D52" s="21" t="s">
        <v>8</v>
      </c>
      <c r="F52" s="50" t="s">
        <v>255</v>
      </c>
      <c r="G52" s="50"/>
      <c r="L52" s="50"/>
      <c r="M52" s="50"/>
      <c r="N52" s="50"/>
      <c r="O52" s="50"/>
    </row>
    <row r="53">
      <c r="A53" s="78">
        <v>46086.0</v>
      </c>
      <c r="B53" s="76" t="s">
        <v>306</v>
      </c>
      <c r="D53" s="21" t="s">
        <v>8</v>
      </c>
      <c r="F53" s="50" t="s">
        <v>267</v>
      </c>
      <c r="L53" s="50" t="s">
        <v>307</v>
      </c>
      <c r="M53" s="50">
        <v>30000.0</v>
      </c>
      <c r="N53" s="50">
        <v>15000.0</v>
      </c>
      <c r="O53" s="50">
        <v>20000.0</v>
      </c>
    </row>
    <row r="54">
      <c r="A54" s="75">
        <v>46087.0</v>
      </c>
      <c r="C54" s="50" t="s">
        <v>308</v>
      </c>
      <c r="D54" s="21"/>
      <c r="F54" s="50" t="s">
        <v>295</v>
      </c>
    </row>
    <row r="55">
      <c r="A55" s="75">
        <v>46087.0</v>
      </c>
      <c r="B55" s="5"/>
      <c r="C55" s="83" t="s">
        <v>309</v>
      </c>
      <c r="D55" s="21" t="s">
        <v>8</v>
      </c>
      <c r="F55" s="50" t="s">
        <v>255</v>
      </c>
    </row>
    <row r="56">
      <c r="A56" s="78">
        <v>46088.0</v>
      </c>
      <c r="B56" s="76" t="s">
        <v>310</v>
      </c>
      <c r="D56" s="21"/>
      <c r="E56" s="88">
        <v>0.4166666666666667</v>
      </c>
      <c r="F56" s="50"/>
    </row>
    <row r="57">
      <c r="A57" s="75">
        <v>46088.0</v>
      </c>
      <c r="B57" s="76"/>
      <c r="C57" s="21" t="s">
        <v>311</v>
      </c>
      <c r="D57" s="21" t="s">
        <v>8</v>
      </c>
      <c r="E57" s="50" t="s">
        <v>312</v>
      </c>
      <c r="F57" s="50" t="s">
        <v>295</v>
      </c>
    </row>
    <row r="58">
      <c r="A58" s="78">
        <v>46089.0</v>
      </c>
      <c r="B58" s="76" t="s">
        <v>313</v>
      </c>
      <c r="D58" s="21" t="s">
        <v>8</v>
      </c>
      <c r="E58" s="50" t="s">
        <v>314</v>
      </c>
      <c r="F58" s="50" t="s">
        <v>255</v>
      </c>
    </row>
    <row r="59">
      <c r="A59" s="75">
        <v>46089.0</v>
      </c>
      <c r="B59" s="76"/>
      <c r="C59" s="77" t="s">
        <v>315</v>
      </c>
      <c r="D59" s="21" t="s">
        <v>8</v>
      </c>
      <c r="E59" s="50" t="s">
        <v>312</v>
      </c>
      <c r="F59" s="50" t="s">
        <v>267</v>
      </c>
    </row>
    <row r="60">
      <c r="A60" s="75">
        <v>46090.0</v>
      </c>
      <c r="C60" s="21" t="s">
        <v>316</v>
      </c>
      <c r="D60" s="21" t="s">
        <v>8</v>
      </c>
      <c r="F60" s="50"/>
    </row>
    <row r="61">
      <c r="A61" s="75">
        <v>46091.0</v>
      </c>
      <c r="C61" s="50" t="s">
        <v>317</v>
      </c>
      <c r="D61" s="21" t="s">
        <v>8</v>
      </c>
      <c r="F61" s="50"/>
    </row>
    <row r="62">
      <c r="A62" s="78">
        <v>46092.0</v>
      </c>
      <c r="B62" s="76" t="s">
        <v>318</v>
      </c>
      <c r="D62" s="21" t="s">
        <v>8</v>
      </c>
      <c r="F62" s="50" t="s">
        <v>255</v>
      </c>
    </row>
    <row r="63">
      <c r="A63" s="75">
        <v>46093.0</v>
      </c>
      <c r="B63" s="76" t="s">
        <v>319</v>
      </c>
      <c r="C63" s="50" t="s">
        <v>320</v>
      </c>
      <c r="D63" s="21" t="s">
        <v>8</v>
      </c>
      <c r="F63" s="50"/>
    </row>
    <row r="64">
      <c r="A64" s="75">
        <v>46094.0</v>
      </c>
      <c r="B64" s="76"/>
      <c r="C64" s="21" t="s">
        <v>321</v>
      </c>
      <c r="D64" s="21"/>
      <c r="F64" s="50"/>
    </row>
    <row r="65">
      <c r="A65" s="78">
        <v>46095.0</v>
      </c>
      <c r="B65" s="76" t="s">
        <v>322</v>
      </c>
      <c r="D65" s="21" t="s">
        <v>8</v>
      </c>
      <c r="F65" s="50" t="s">
        <v>255</v>
      </c>
      <c r="G65" s="50" t="s">
        <v>323</v>
      </c>
      <c r="L65" s="50" t="s">
        <v>324</v>
      </c>
      <c r="M65" s="49" t="str">
        <f t="shared" ref="M65:O65" si="1">#REF!*M53</f>
        <v>#REF!</v>
      </c>
      <c r="N65" s="49" t="str">
        <f t="shared" si="1"/>
        <v>#REF!</v>
      </c>
      <c r="O65" s="49" t="str">
        <f t="shared" si="1"/>
        <v>#REF!</v>
      </c>
    </row>
    <row r="66">
      <c r="A66" s="75">
        <v>46096.0</v>
      </c>
      <c r="C66" s="21" t="s">
        <v>325</v>
      </c>
      <c r="D66" s="21"/>
      <c r="F66" s="50" t="s">
        <v>255</v>
      </c>
    </row>
    <row r="67">
      <c r="A67" s="75">
        <v>46097.0</v>
      </c>
      <c r="C67" s="21" t="s">
        <v>326</v>
      </c>
      <c r="D67" s="21"/>
      <c r="F67" s="50" t="s">
        <v>255</v>
      </c>
      <c r="L67" s="50" t="s">
        <v>327</v>
      </c>
      <c r="M67" s="49" t="str">
        <f>SUM(M65:O65)</f>
        <v>#REF!</v>
      </c>
    </row>
    <row r="68">
      <c r="A68" s="78">
        <v>46099.0</v>
      </c>
      <c r="B68" s="76" t="s">
        <v>328</v>
      </c>
      <c r="D68" s="21" t="s">
        <v>8</v>
      </c>
      <c r="F68" s="50" t="s">
        <v>255</v>
      </c>
      <c r="K68" s="49" t="str">
        <f>#REF!*70%</f>
        <v>#REF!</v>
      </c>
    </row>
    <row r="69">
      <c r="A69" s="75">
        <v>46100.0</v>
      </c>
      <c r="C69" s="50" t="s">
        <v>329</v>
      </c>
      <c r="D69" s="21" t="s">
        <v>8</v>
      </c>
      <c r="F69" s="50" t="s">
        <v>267</v>
      </c>
    </row>
    <row r="70">
      <c r="A70" s="75">
        <v>46101.0</v>
      </c>
      <c r="C70" s="50" t="s">
        <v>330</v>
      </c>
      <c r="D70" s="21" t="s">
        <v>8</v>
      </c>
      <c r="F70" s="50" t="s">
        <v>295</v>
      </c>
      <c r="M70" s="49" t="str">
        <f>K68-M67</f>
        <v>#REF!</v>
      </c>
    </row>
    <row r="71">
      <c r="A71" s="78">
        <v>46103.0</v>
      </c>
      <c r="B71" s="76" t="s">
        <v>331</v>
      </c>
      <c r="D71" s="21" t="s">
        <v>8</v>
      </c>
      <c r="F71" s="50" t="s">
        <v>267</v>
      </c>
    </row>
    <row r="72">
      <c r="A72" s="75">
        <v>46102.0</v>
      </c>
      <c r="B72" s="76"/>
      <c r="C72" s="50" t="s">
        <v>332</v>
      </c>
      <c r="D72" s="21" t="s">
        <v>8</v>
      </c>
      <c r="F72" s="50" t="s">
        <v>295</v>
      </c>
    </row>
    <row r="73">
      <c r="A73" s="78">
        <v>46102.0</v>
      </c>
      <c r="B73" s="76" t="s">
        <v>333</v>
      </c>
      <c r="D73" s="21" t="s">
        <v>8</v>
      </c>
      <c r="F73" s="50" t="s">
        <v>295</v>
      </c>
    </row>
    <row r="74">
      <c r="A74" s="75">
        <v>46104.0</v>
      </c>
      <c r="B74" s="76"/>
      <c r="C74" s="50" t="s">
        <v>334</v>
      </c>
      <c r="D74" s="21" t="s">
        <v>8</v>
      </c>
      <c r="F74" s="50" t="s">
        <v>267</v>
      </c>
    </row>
    <row r="75">
      <c r="A75" s="75">
        <v>46104.0</v>
      </c>
      <c r="B75" s="76"/>
      <c r="C75" s="50" t="s">
        <v>335</v>
      </c>
      <c r="D75" s="21" t="s">
        <v>8</v>
      </c>
      <c r="F75" s="50"/>
    </row>
    <row r="76">
      <c r="A76" s="75">
        <v>46104.0</v>
      </c>
      <c r="B76" s="76"/>
      <c r="C76" s="50" t="s">
        <v>336</v>
      </c>
      <c r="D76" s="21" t="s">
        <v>8</v>
      </c>
      <c r="F76" s="50" t="s">
        <v>295</v>
      </c>
    </row>
    <row r="77">
      <c r="A77" s="75">
        <v>46105.0</v>
      </c>
      <c r="B77" s="76"/>
      <c r="C77" s="89" t="s">
        <v>337</v>
      </c>
      <c r="D77" s="21" t="s">
        <v>115</v>
      </c>
      <c r="F77" s="50" t="s">
        <v>267</v>
      </c>
    </row>
    <row r="78">
      <c r="A78" s="78">
        <v>46106.0</v>
      </c>
      <c r="B78" s="76" t="s">
        <v>338</v>
      </c>
      <c r="D78" s="21" t="s">
        <v>115</v>
      </c>
      <c r="F78" s="50" t="s">
        <v>267</v>
      </c>
    </row>
    <row r="79">
      <c r="A79" s="75">
        <v>46107.0</v>
      </c>
      <c r="C79" s="50" t="s">
        <v>339</v>
      </c>
      <c r="D79" s="21"/>
      <c r="F79" s="50" t="s">
        <v>267</v>
      </c>
    </row>
    <row r="80">
      <c r="A80" s="75">
        <v>46108.0</v>
      </c>
      <c r="B80" s="51" t="s">
        <v>340</v>
      </c>
      <c r="D80" s="21" t="s">
        <v>115</v>
      </c>
      <c r="F80" s="50" t="s">
        <v>295</v>
      </c>
    </row>
    <row r="81">
      <c r="A81" s="75">
        <v>46108.0</v>
      </c>
      <c r="B81" s="51" t="s">
        <v>341</v>
      </c>
      <c r="C81" s="50"/>
      <c r="D81" s="21"/>
      <c r="F81" s="50"/>
    </row>
    <row r="82">
      <c r="A82" s="78">
        <v>46109.0</v>
      </c>
      <c r="C82" s="50" t="s">
        <v>342</v>
      </c>
      <c r="H82" s="50" t="s">
        <v>343</v>
      </c>
    </row>
    <row r="83">
      <c r="A83" s="75">
        <v>46110.0</v>
      </c>
      <c r="C83" s="50" t="s">
        <v>344</v>
      </c>
      <c r="F83" s="50" t="s">
        <v>255</v>
      </c>
    </row>
    <row r="84">
      <c r="A84" s="78">
        <v>46111.0</v>
      </c>
      <c r="B84" s="76" t="s">
        <v>345</v>
      </c>
      <c r="D84" s="21" t="s">
        <v>115</v>
      </c>
      <c r="F84" s="50" t="s">
        <v>267</v>
      </c>
      <c r="H84" s="50" t="s">
        <v>346</v>
      </c>
    </row>
    <row r="85">
      <c r="A85" s="75">
        <v>46112.0</v>
      </c>
    </row>
    <row r="86">
      <c r="A86" s="75">
        <v>46113.0</v>
      </c>
    </row>
    <row r="87">
      <c r="A87" s="78">
        <v>46114.0</v>
      </c>
      <c r="B87" s="51" t="s">
        <v>347</v>
      </c>
      <c r="D87" s="21" t="s">
        <v>115</v>
      </c>
      <c r="F87" s="50" t="s">
        <v>267</v>
      </c>
      <c r="H87" s="50" t="s">
        <v>346</v>
      </c>
    </row>
    <row r="88">
      <c r="A88" s="75">
        <v>46115.0</v>
      </c>
    </row>
    <row r="89">
      <c r="A89" s="75">
        <v>46116.0</v>
      </c>
    </row>
    <row r="90">
      <c r="A90" s="78">
        <v>46117.0</v>
      </c>
      <c r="B90" s="76" t="s">
        <v>348</v>
      </c>
      <c r="H90" s="50" t="s">
        <v>349</v>
      </c>
    </row>
    <row r="91">
      <c r="A91" s="78"/>
    </row>
    <row r="92">
      <c r="A92" s="78"/>
    </row>
    <row r="93">
      <c r="B93" s="50" t="s">
        <v>350</v>
      </c>
      <c r="C93" s="50" t="s">
        <v>2</v>
      </c>
      <c r="D93" s="50" t="s">
        <v>351</v>
      </c>
    </row>
    <row r="94">
      <c r="A94" s="90"/>
      <c r="B94" s="91" t="s">
        <v>352</v>
      </c>
    </row>
    <row r="95">
      <c r="A95" s="92"/>
      <c r="B95" s="50" t="s">
        <v>353</v>
      </c>
    </row>
    <row r="97">
      <c r="B97" s="93" t="s">
        <v>354</v>
      </c>
      <c r="H97" s="21" t="s">
        <v>355</v>
      </c>
    </row>
    <row r="98">
      <c r="B98" s="93" t="s">
        <v>356</v>
      </c>
      <c r="C98" s="50" t="s">
        <v>357</v>
      </c>
      <c r="H98" s="21" t="s">
        <v>358</v>
      </c>
    </row>
    <row r="99">
      <c r="B99" s="93" t="s">
        <v>359</v>
      </c>
    </row>
    <row r="100">
      <c r="B100" s="93" t="s">
        <v>360</v>
      </c>
      <c r="H100" s="50" t="s">
        <v>361</v>
      </c>
    </row>
    <row r="101">
      <c r="B101" s="50" t="s">
        <v>362</v>
      </c>
    </row>
    <row r="102">
      <c r="B102" s="89" t="s">
        <v>363</v>
      </c>
    </row>
    <row r="104">
      <c r="B104" s="50"/>
    </row>
    <row r="105">
      <c r="B105" s="50"/>
    </row>
    <row r="106">
      <c r="B106" s="50"/>
    </row>
    <row r="107">
      <c r="B107" s="94" t="s">
        <v>364</v>
      </c>
      <c r="C107" s="50" t="s">
        <v>365</v>
      </c>
    </row>
  </sheetData>
  <dataValidations>
    <dataValidation type="list" allowBlank="1" showErrorMessage="1" sqref="F2:F9 F11:F14 F17:F18 F20:F32 F36:F81 F83:F84 F87">
      <formula1>"Aparna,Swati,Raghav"</formula1>
    </dataValidation>
    <dataValidation type="list" allowBlank="1" sqref="D2:D18 D20:D34 D36:D81 D84 D87">
      <formula1>"Research Done,Scripting,Shot,Edit WIP,Ready,Published,Not picked"</formula1>
    </dataValidation>
  </dataValidations>
  <drawing r:id="rId4"/>
  <legacyDrawing r:id="rId5"/>
  <tableParts count="2"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44.25"/>
    <col customWidth="1" min="3" max="3" width="18.5"/>
    <col customWidth="1" min="4" max="4" width="17.13"/>
    <col customWidth="1" min="5" max="5" width="25.0"/>
  </cols>
  <sheetData>
    <row r="1" ht="22.5" customHeight="1">
      <c r="A1" s="95" t="s">
        <v>0</v>
      </c>
      <c r="B1" s="95" t="s">
        <v>1</v>
      </c>
      <c r="C1" s="96" t="s">
        <v>2</v>
      </c>
      <c r="D1" s="96" t="s">
        <v>3</v>
      </c>
      <c r="E1" s="97" t="s">
        <v>4</v>
      </c>
      <c r="F1" s="97" t="s">
        <v>252</v>
      </c>
      <c r="G1" s="97" t="s">
        <v>253</v>
      </c>
    </row>
    <row r="2" ht="22.5" customHeight="1">
      <c r="A2" s="98">
        <v>46031.0</v>
      </c>
      <c r="B2" s="99" t="s">
        <v>366</v>
      </c>
      <c r="C2" s="100"/>
      <c r="D2" s="101" t="s">
        <v>8</v>
      </c>
      <c r="E2" s="102"/>
      <c r="F2" s="103"/>
      <c r="G2" s="102"/>
    </row>
    <row r="3" ht="22.5" customHeight="1">
      <c r="A3" s="98">
        <v>46038.0</v>
      </c>
      <c r="B3" s="99" t="s">
        <v>367</v>
      </c>
      <c r="C3" s="100"/>
      <c r="D3" s="101" t="s">
        <v>8</v>
      </c>
      <c r="E3" s="102"/>
      <c r="F3" s="103"/>
      <c r="G3" s="102"/>
      <c r="J3" s="104"/>
    </row>
    <row r="4" ht="22.5" customHeight="1">
      <c r="A4" s="98">
        <v>46045.0</v>
      </c>
      <c r="B4" s="99" t="s">
        <v>368</v>
      </c>
      <c r="C4" s="100"/>
      <c r="D4" s="101" t="s">
        <v>8</v>
      </c>
      <c r="E4" s="102"/>
      <c r="F4" s="103"/>
      <c r="G4" s="102"/>
      <c r="J4" s="104"/>
    </row>
    <row r="5" ht="22.5" customHeight="1">
      <c r="A5" s="98">
        <v>46056.0</v>
      </c>
      <c r="B5" s="105" t="s">
        <v>369</v>
      </c>
      <c r="C5" s="100"/>
      <c r="D5" s="106" t="s">
        <v>8</v>
      </c>
      <c r="E5" s="107"/>
      <c r="F5" s="108"/>
      <c r="G5" s="107"/>
      <c r="J5" s="104"/>
    </row>
    <row r="6" ht="22.5" customHeight="1">
      <c r="A6" s="98">
        <v>46064.0</v>
      </c>
      <c r="B6" s="105" t="s">
        <v>370</v>
      </c>
      <c r="C6" s="100"/>
      <c r="D6" s="106" t="s">
        <v>8</v>
      </c>
      <c r="E6" s="107"/>
      <c r="F6" s="108"/>
      <c r="G6" s="107"/>
      <c r="J6" s="104"/>
    </row>
    <row r="7" ht="22.5" customHeight="1">
      <c r="A7" s="98">
        <v>46071.0</v>
      </c>
      <c r="B7" s="109"/>
      <c r="C7" s="109" t="s">
        <v>371</v>
      </c>
      <c r="D7" s="106" t="s">
        <v>30</v>
      </c>
      <c r="E7" s="107"/>
      <c r="F7" s="108"/>
      <c r="G7" s="107"/>
      <c r="J7" s="104"/>
    </row>
    <row r="8" ht="22.5" customHeight="1">
      <c r="A8" s="98">
        <v>46072.0</v>
      </c>
      <c r="B8" s="105"/>
      <c r="C8" s="99" t="s">
        <v>372</v>
      </c>
      <c r="D8" s="106" t="s">
        <v>30</v>
      </c>
      <c r="E8" s="107"/>
      <c r="F8" s="108"/>
      <c r="G8" s="107"/>
      <c r="J8" s="104"/>
    </row>
    <row r="9" ht="22.5" customHeight="1">
      <c r="A9" s="98">
        <v>46078.0</v>
      </c>
      <c r="B9" s="109" t="s">
        <v>373</v>
      </c>
      <c r="C9" s="100"/>
      <c r="D9" s="106" t="s">
        <v>8</v>
      </c>
      <c r="E9" s="107"/>
      <c r="F9" s="108"/>
      <c r="G9" s="107"/>
      <c r="J9" s="104"/>
    </row>
    <row r="10" ht="22.5" customHeight="1">
      <c r="A10" s="98">
        <v>46098.0</v>
      </c>
      <c r="B10" s="105" t="s">
        <v>374</v>
      </c>
      <c r="C10" s="100"/>
      <c r="D10" s="106" t="s">
        <v>8</v>
      </c>
      <c r="E10" s="110" t="s">
        <v>375</v>
      </c>
      <c r="F10" s="107"/>
      <c r="G10" s="107"/>
      <c r="J10" s="104"/>
    </row>
    <row r="11" ht="22.5" customHeight="1">
      <c r="A11" s="98">
        <v>46099.0</v>
      </c>
      <c r="B11" s="105"/>
      <c r="C11" s="105" t="s">
        <v>376</v>
      </c>
      <c r="D11" s="106" t="s">
        <v>8</v>
      </c>
      <c r="E11" s="110" t="s">
        <v>375</v>
      </c>
      <c r="F11" s="102"/>
      <c r="G11" s="102"/>
      <c r="J11" s="104"/>
    </row>
    <row r="12" ht="22.5" customHeight="1">
      <c r="A12" s="98">
        <v>46102.0</v>
      </c>
      <c r="B12" s="105" t="s">
        <v>377</v>
      </c>
      <c r="C12" s="102"/>
      <c r="D12" s="106" t="s">
        <v>8</v>
      </c>
      <c r="E12" s="110" t="s">
        <v>378</v>
      </c>
      <c r="F12" s="102"/>
      <c r="G12" s="102"/>
      <c r="J12" s="104"/>
    </row>
    <row r="13" ht="22.5" customHeight="1">
      <c r="A13" s="98">
        <v>46103.0</v>
      </c>
      <c r="B13" s="105"/>
      <c r="C13" s="105"/>
      <c r="D13" s="106"/>
      <c r="E13" s="111"/>
      <c r="F13" s="102"/>
      <c r="G13" s="102"/>
    </row>
    <row r="14" ht="22.5" customHeight="1">
      <c r="A14" s="98">
        <v>46105.0</v>
      </c>
      <c r="B14" s="105" t="s">
        <v>379</v>
      </c>
      <c r="C14" s="112"/>
      <c r="D14" s="106" t="s">
        <v>8</v>
      </c>
      <c r="E14" s="110" t="s">
        <v>380</v>
      </c>
      <c r="F14" s="102"/>
      <c r="G14" s="102"/>
    </row>
    <row r="15" ht="22.5" customHeight="1">
      <c r="A15" s="98">
        <v>46109.0</v>
      </c>
      <c r="B15" s="105" t="s">
        <v>381</v>
      </c>
      <c r="C15" s="112"/>
      <c r="D15" s="113"/>
      <c r="E15" s="111"/>
      <c r="F15" s="102"/>
      <c r="G15" s="102"/>
    </row>
    <row r="16" ht="22.5" customHeight="1">
      <c r="A16" s="98">
        <v>46113.0</v>
      </c>
      <c r="B16" s="105" t="s">
        <v>382</v>
      </c>
      <c r="C16" s="112"/>
      <c r="D16" s="106" t="s">
        <v>30</v>
      </c>
      <c r="E16" s="110" t="s">
        <v>383</v>
      </c>
      <c r="F16" s="102"/>
      <c r="G16" s="102"/>
    </row>
    <row r="17" ht="22.5" customHeight="1">
      <c r="A17" s="98">
        <v>46114.0</v>
      </c>
      <c r="B17" s="105"/>
      <c r="C17" s="105" t="s">
        <v>384</v>
      </c>
      <c r="D17" s="106" t="s">
        <v>30</v>
      </c>
      <c r="E17" s="110" t="s">
        <v>383</v>
      </c>
      <c r="F17" s="102"/>
      <c r="G17" s="102"/>
    </row>
    <row r="18" ht="22.5" customHeight="1">
      <c r="A18" s="98">
        <v>46115.0</v>
      </c>
      <c r="B18" s="105"/>
      <c r="C18" s="105" t="s">
        <v>385</v>
      </c>
      <c r="D18" s="106" t="s">
        <v>30</v>
      </c>
      <c r="E18" s="110" t="s">
        <v>383</v>
      </c>
      <c r="F18" s="102"/>
      <c r="G18" s="102"/>
    </row>
    <row r="19" ht="22.5" customHeight="1">
      <c r="A19" s="98">
        <v>46116.0</v>
      </c>
      <c r="B19" s="105" t="s">
        <v>386</v>
      </c>
      <c r="C19" s="102"/>
      <c r="D19" s="106" t="s">
        <v>215</v>
      </c>
      <c r="E19" s="110" t="s">
        <v>387</v>
      </c>
      <c r="F19" s="102"/>
      <c r="G19" s="102"/>
    </row>
    <row r="20" ht="22.5" customHeight="1">
      <c r="A20" s="98">
        <v>46117.0</v>
      </c>
      <c r="B20" s="105"/>
      <c r="C20" s="105" t="s">
        <v>388</v>
      </c>
      <c r="D20" s="106" t="s">
        <v>215</v>
      </c>
      <c r="E20" s="114" t="s">
        <v>389</v>
      </c>
      <c r="F20" s="102"/>
      <c r="G20" s="102"/>
    </row>
    <row r="21" ht="22.5" customHeight="1">
      <c r="A21" s="98">
        <v>46120.0</v>
      </c>
      <c r="B21" s="105" t="s">
        <v>390</v>
      </c>
      <c r="C21" s="102"/>
      <c r="D21" s="106" t="s">
        <v>215</v>
      </c>
      <c r="E21" s="114" t="s">
        <v>391</v>
      </c>
      <c r="F21" s="102"/>
      <c r="G21" s="102"/>
    </row>
    <row r="22" ht="22.5" customHeight="1">
      <c r="A22" s="98">
        <v>46121.0</v>
      </c>
      <c r="C22" s="105" t="s">
        <v>392</v>
      </c>
      <c r="D22" s="106" t="s">
        <v>215</v>
      </c>
      <c r="E22" s="114" t="s">
        <v>391</v>
      </c>
      <c r="F22" s="102"/>
      <c r="G22" s="102"/>
    </row>
    <row r="23" ht="22.5" customHeight="1">
      <c r="A23" s="98">
        <v>46122.0</v>
      </c>
      <c r="B23" s="105"/>
      <c r="C23" s="105" t="s">
        <v>393</v>
      </c>
      <c r="D23" s="106" t="s">
        <v>215</v>
      </c>
      <c r="E23" s="114" t="s">
        <v>391</v>
      </c>
      <c r="F23" s="102"/>
      <c r="G23" s="102"/>
    </row>
    <row r="24" ht="22.5" customHeight="1">
      <c r="A24" s="98">
        <v>46123.0</v>
      </c>
      <c r="B24" s="105" t="s">
        <v>394</v>
      </c>
      <c r="C24" s="102"/>
      <c r="D24" s="106" t="s">
        <v>215</v>
      </c>
      <c r="E24" s="114" t="s">
        <v>391</v>
      </c>
      <c r="F24" s="102"/>
      <c r="G24" s="102"/>
    </row>
    <row r="25" ht="22.5" customHeight="1">
      <c r="A25" s="98">
        <v>46124.0</v>
      </c>
      <c r="B25" s="102"/>
      <c r="C25" s="105" t="s">
        <v>392</v>
      </c>
      <c r="D25" s="106" t="s">
        <v>215</v>
      </c>
      <c r="E25" s="114" t="s">
        <v>391</v>
      </c>
      <c r="F25" s="102"/>
      <c r="G25" s="102"/>
    </row>
    <row r="26" ht="22.5" customHeight="1">
      <c r="A26" s="98">
        <v>46125.0</v>
      </c>
      <c r="B26" s="102"/>
      <c r="C26" s="105" t="s">
        <v>393</v>
      </c>
      <c r="D26" s="106" t="s">
        <v>215</v>
      </c>
      <c r="E26" s="114" t="s">
        <v>391</v>
      </c>
      <c r="F26" s="102"/>
      <c r="G26" s="102"/>
    </row>
    <row r="27" ht="22.5" customHeight="1">
      <c r="A27" s="98">
        <v>46127.0</v>
      </c>
      <c r="B27" s="105" t="s">
        <v>395</v>
      </c>
      <c r="C27" s="102"/>
      <c r="D27" s="106" t="s">
        <v>215</v>
      </c>
      <c r="E27" s="114" t="s">
        <v>391</v>
      </c>
      <c r="F27" s="102"/>
      <c r="G27" s="102"/>
    </row>
    <row r="28" ht="22.5" customHeight="1">
      <c r="A28" s="98">
        <v>46128.0</v>
      </c>
      <c r="B28" s="102"/>
      <c r="C28" s="105" t="s">
        <v>392</v>
      </c>
      <c r="D28" s="106" t="s">
        <v>215</v>
      </c>
      <c r="E28" s="114" t="s">
        <v>391</v>
      </c>
      <c r="F28" s="102"/>
      <c r="G28" s="102"/>
    </row>
    <row r="29" ht="22.5" customHeight="1">
      <c r="A29" s="98">
        <v>46129.0</v>
      </c>
      <c r="B29" s="102"/>
      <c r="C29" s="105" t="s">
        <v>393</v>
      </c>
      <c r="D29" s="106" t="s">
        <v>215</v>
      </c>
      <c r="E29" s="114" t="s">
        <v>391</v>
      </c>
      <c r="F29" s="102"/>
      <c r="G29" s="102"/>
    </row>
    <row r="30" ht="22.5" customHeight="1">
      <c r="A30" s="98">
        <v>46130.0</v>
      </c>
      <c r="B30" s="105" t="s">
        <v>396</v>
      </c>
      <c r="C30" s="105"/>
      <c r="D30" s="106" t="s">
        <v>215</v>
      </c>
      <c r="E30" s="114" t="s">
        <v>391</v>
      </c>
      <c r="F30" s="102"/>
      <c r="G30" s="102"/>
    </row>
    <row r="31" ht="22.5" customHeight="1">
      <c r="A31" s="98">
        <v>46131.0</v>
      </c>
      <c r="B31" s="102"/>
      <c r="C31" s="105" t="s">
        <v>392</v>
      </c>
      <c r="D31" s="106" t="s">
        <v>215</v>
      </c>
      <c r="E31" s="114" t="s">
        <v>391</v>
      </c>
      <c r="F31" s="102"/>
      <c r="G31" s="102"/>
    </row>
    <row r="32" ht="22.5" customHeight="1">
      <c r="A32" s="98">
        <v>46134.0</v>
      </c>
      <c r="B32" s="105" t="s">
        <v>397</v>
      </c>
      <c r="C32" s="105"/>
      <c r="D32" s="106" t="s">
        <v>215</v>
      </c>
      <c r="E32" s="114" t="s">
        <v>391</v>
      </c>
      <c r="F32" s="102"/>
      <c r="G32" s="102"/>
    </row>
    <row r="33" ht="22.5" customHeight="1">
      <c r="A33" s="98"/>
      <c r="B33" s="102"/>
      <c r="C33" s="105"/>
      <c r="D33" s="106" t="s">
        <v>215</v>
      </c>
      <c r="E33" s="114" t="s">
        <v>391</v>
      </c>
      <c r="F33" s="102"/>
      <c r="G33" s="102"/>
    </row>
    <row r="34" ht="22.5" customHeight="1">
      <c r="A34" s="98"/>
      <c r="B34" s="102"/>
      <c r="C34" s="105"/>
      <c r="D34" s="101"/>
      <c r="E34" s="115"/>
      <c r="F34" s="102"/>
      <c r="G34" s="102"/>
    </row>
    <row r="35" ht="22.5" customHeight="1">
      <c r="A35" s="98"/>
      <c r="B35" s="102"/>
      <c r="C35" s="105"/>
      <c r="D35" s="101"/>
      <c r="E35" s="115"/>
      <c r="F35" s="102"/>
      <c r="G35" s="102"/>
    </row>
    <row r="36" ht="22.5" customHeight="1">
      <c r="A36" s="98"/>
      <c r="B36" s="102"/>
      <c r="C36" s="105"/>
      <c r="D36" s="101"/>
      <c r="E36" s="115"/>
      <c r="F36" s="102"/>
      <c r="G36" s="102"/>
    </row>
    <row r="37" ht="22.5" customHeight="1">
      <c r="A37" s="98"/>
      <c r="B37" s="102"/>
      <c r="C37" s="105"/>
      <c r="D37" s="101"/>
      <c r="E37" s="115"/>
      <c r="F37" s="102"/>
      <c r="G37" s="102"/>
    </row>
    <row r="38" ht="22.5" customHeight="1">
      <c r="A38" s="98"/>
      <c r="B38" s="102"/>
      <c r="C38" s="105"/>
      <c r="D38" s="101"/>
      <c r="E38" s="115"/>
      <c r="F38" s="102"/>
      <c r="G38" s="102"/>
    </row>
    <row r="39" ht="22.5" customHeight="1">
      <c r="A39" s="98"/>
      <c r="B39" s="102"/>
      <c r="C39" s="105"/>
      <c r="D39" s="101"/>
      <c r="E39" s="115"/>
      <c r="F39" s="102"/>
      <c r="G39" s="102"/>
    </row>
    <row r="40" ht="22.5" customHeight="1">
      <c r="A40" s="98"/>
      <c r="B40" s="102"/>
      <c r="C40" s="105"/>
      <c r="D40" s="101"/>
      <c r="E40" s="115"/>
      <c r="F40" s="102"/>
      <c r="G40" s="102"/>
    </row>
    <row r="41" ht="22.5" customHeight="1">
      <c r="A41" s="98"/>
      <c r="B41" s="102"/>
      <c r="C41" s="105"/>
      <c r="D41" s="101"/>
      <c r="E41" s="115"/>
      <c r="F41" s="102"/>
      <c r="G41" s="102"/>
    </row>
    <row r="42" ht="22.5" customHeight="1">
      <c r="A42" s="98"/>
      <c r="B42" s="102"/>
      <c r="C42" s="105"/>
      <c r="D42" s="101"/>
      <c r="E42" s="115"/>
      <c r="F42" s="102"/>
      <c r="G42" s="102"/>
    </row>
    <row r="43" ht="22.5" customHeight="1">
      <c r="A43" s="98"/>
      <c r="B43" s="102"/>
      <c r="C43" s="105"/>
      <c r="D43" s="101"/>
      <c r="E43" s="115"/>
      <c r="F43" s="102"/>
      <c r="G43" s="102"/>
    </row>
    <row r="44" ht="22.5" customHeight="1">
      <c r="A44" s="98"/>
      <c r="B44" s="102"/>
      <c r="C44" s="105"/>
      <c r="D44" s="101"/>
      <c r="E44" s="115"/>
      <c r="F44" s="102"/>
      <c r="G44" s="102"/>
    </row>
    <row r="45" ht="22.5" customHeight="1">
      <c r="A45" s="98"/>
      <c r="B45" s="102"/>
      <c r="C45" s="105"/>
      <c r="D45" s="101"/>
      <c r="E45" s="115"/>
      <c r="F45" s="102"/>
      <c r="G45" s="102"/>
    </row>
    <row r="46" ht="22.5" customHeight="1">
      <c r="A46" s="98"/>
      <c r="B46" s="102"/>
      <c r="C46" s="105"/>
      <c r="D46" s="101"/>
      <c r="E46" s="115"/>
      <c r="F46" s="102"/>
      <c r="G46" s="102"/>
    </row>
    <row r="47" ht="22.5" customHeight="1">
      <c r="A47" s="98"/>
      <c r="B47" s="102"/>
      <c r="C47" s="105"/>
      <c r="D47" s="101"/>
      <c r="E47" s="115"/>
      <c r="F47" s="102"/>
      <c r="G47" s="102"/>
    </row>
    <row r="48" ht="22.5" customHeight="1">
      <c r="A48" s="98"/>
      <c r="B48" s="102"/>
      <c r="C48" s="105"/>
      <c r="D48" s="101"/>
      <c r="E48" s="115"/>
      <c r="F48" s="102"/>
      <c r="G48" s="102"/>
    </row>
    <row r="49" ht="22.5" customHeight="1">
      <c r="A49" s="98"/>
      <c r="B49" s="102"/>
      <c r="C49" s="105"/>
      <c r="D49" s="101"/>
      <c r="E49" s="115"/>
      <c r="F49" s="102"/>
      <c r="G49" s="102"/>
    </row>
    <row r="50" ht="22.5" customHeight="1">
      <c r="A50" s="98"/>
      <c r="B50" s="102"/>
      <c r="C50" s="105"/>
      <c r="D50" s="101"/>
      <c r="E50" s="115"/>
      <c r="F50" s="102"/>
      <c r="G50" s="102"/>
    </row>
    <row r="51" ht="22.5" customHeight="1">
      <c r="A51" s="98"/>
      <c r="B51" s="102"/>
      <c r="C51" s="105"/>
      <c r="D51" s="101"/>
      <c r="E51" s="115"/>
      <c r="F51" s="102"/>
      <c r="G51" s="102"/>
    </row>
    <row r="52" ht="22.5" customHeight="1">
      <c r="A52" s="98"/>
      <c r="B52" s="102"/>
      <c r="C52" s="105"/>
      <c r="D52" s="101"/>
      <c r="E52" s="115"/>
      <c r="F52" s="102"/>
      <c r="G52" s="102"/>
    </row>
  </sheetData>
  <dataValidations>
    <dataValidation type="list" allowBlank="1" showErrorMessage="1" sqref="F2:F9">
      <formula1>"Aparna,Swati"</formula1>
    </dataValidation>
    <dataValidation type="custom" allowBlank="1" showDropDown="1" sqref="A2:A52">
      <formula1>OR(NOT(ISERROR(DATEVALUE(A2))), AND(ISNUMBER(A2), LEFT(CELL("format", A2))="D"))</formula1>
    </dataValidation>
    <dataValidation type="list" allowBlank="1" sqref="D2:D52">
      <formula1>"Research Done,Scripting,Shot,Edit WIP,Ready,Published,Not picked"</formula1>
    </dataValidation>
  </dataValidations>
  <hyperlinks>
    <hyperlink r:id="rId1" ref="E10"/>
    <hyperlink r:id="rId2" ref="E11"/>
    <hyperlink r:id="rId3" ref="E12"/>
    <hyperlink r:id="rId4" ref="E14"/>
    <hyperlink r:id="rId5" ref="E16"/>
    <hyperlink r:id="rId6" ref="E17"/>
    <hyperlink r:id="rId7" ref="E18"/>
    <hyperlink r:id="rId8" ref="E19"/>
    <hyperlink r:id="rId9" ref="E20"/>
    <hyperlink r:id="rId10" ref="E21"/>
    <hyperlink r:id="rId11" ref="E22"/>
    <hyperlink r:id="rId12" ref="E23"/>
    <hyperlink r:id="rId13" ref="E24"/>
    <hyperlink r:id="rId14" ref="E25"/>
    <hyperlink r:id="rId15" ref="E26"/>
    <hyperlink r:id="rId16" ref="E27"/>
    <hyperlink r:id="rId17" ref="E28"/>
    <hyperlink r:id="rId18" ref="E29"/>
    <hyperlink r:id="rId19" ref="E30"/>
    <hyperlink r:id="rId20" ref="E31"/>
    <hyperlink r:id="rId21" ref="E32"/>
    <hyperlink r:id="rId22" ref="E33"/>
  </hyperlinks>
  <drawing r:id="rId23"/>
  <tableParts count="1">
    <tablePart r:id="rId2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2" max="2" width="11.63"/>
    <col customWidth="1" min="5" max="5" width="14.75"/>
    <col customWidth="1" min="6" max="6" width="15.63"/>
    <col customWidth="1" min="7" max="7" width="24.5"/>
    <col customWidth="1" min="8" max="8" width="11.5"/>
    <col customWidth="1" min="9" max="9" width="9.63"/>
  </cols>
  <sheetData>
    <row r="1">
      <c r="A1" s="50" t="s">
        <v>398</v>
      </c>
      <c r="B1" s="50"/>
    </row>
    <row r="2">
      <c r="A2" s="116" t="s">
        <v>399</v>
      </c>
      <c r="B2" s="116" t="s">
        <v>400</v>
      </c>
      <c r="C2" s="116" t="s">
        <v>401</v>
      </c>
      <c r="D2" s="116" t="s">
        <v>402</v>
      </c>
      <c r="E2" s="116" t="s">
        <v>403</v>
      </c>
      <c r="F2" s="116" t="s">
        <v>404</v>
      </c>
      <c r="G2" s="116" t="s">
        <v>405</v>
      </c>
      <c r="H2" s="116" t="s">
        <v>406</v>
      </c>
    </row>
    <row r="3">
      <c r="H3" s="50" t="s">
        <v>1</v>
      </c>
      <c r="I3" s="50" t="s">
        <v>2</v>
      </c>
    </row>
    <row r="4">
      <c r="A4" s="117" t="s">
        <v>407</v>
      </c>
      <c r="B4" s="50"/>
      <c r="H4" s="118">
        <v>0.62</v>
      </c>
      <c r="I4" s="118">
        <v>0.38</v>
      </c>
    </row>
    <row r="5">
      <c r="A5" s="119" t="s">
        <v>408</v>
      </c>
      <c r="B5" s="50" t="s">
        <v>409</v>
      </c>
    </row>
  </sheetData>
  <mergeCells count="1">
    <mergeCell ref="H2:I2"/>
  </mergeCells>
  <hyperlinks>
    <hyperlink r:id="rId1" ref="A4"/>
    <hyperlink r:id="rId2" ref="A5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4.0"/>
    <col customWidth="1" min="3" max="3" width="13.25"/>
    <col customWidth="1" min="4" max="4" width="8.38"/>
    <col customWidth="1" min="5" max="5" width="9.13"/>
    <col customWidth="1" min="6" max="6" width="10.75"/>
    <col customWidth="1" min="7" max="7" width="12.88"/>
    <col customWidth="1" min="8" max="8" width="12.0"/>
  </cols>
  <sheetData>
    <row r="1">
      <c r="A1" s="120" t="s">
        <v>410</v>
      </c>
      <c r="B1" s="120"/>
      <c r="C1" s="121"/>
      <c r="D1" s="121"/>
      <c r="E1" s="121"/>
      <c r="F1" s="121"/>
      <c r="G1" s="121"/>
      <c r="H1" s="121"/>
      <c r="I1" s="121"/>
    </row>
    <row r="2">
      <c r="A2" s="122" t="s">
        <v>412</v>
      </c>
      <c r="B2" s="122"/>
      <c r="C2" s="122"/>
      <c r="D2" s="122"/>
      <c r="E2" s="122"/>
      <c r="F2" s="122"/>
      <c r="G2" s="122"/>
      <c r="H2" s="122"/>
      <c r="I2" s="122"/>
    </row>
    <row r="3">
      <c r="A3" s="123" t="s">
        <v>416</v>
      </c>
      <c r="B3" s="124" t="s">
        <v>411</v>
      </c>
      <c r="C3" s="123" t="s">
        <v>417</v>
      </c>
      <c r="D3" s="123" t="s">
        <v>418</v>
      </c>
      <c r="E3" s="123" t="s">
        <v>419</v>
      </c>
      <c r="F3" s="123" t="s">
        <v>420</v>
      </c>
      <c r="G3" s="123" t="s">
        <v>421</v>
      </c>
      <c r="H3" s="123" t="s">
        <v>400</v>
      </c>
      <c r="I3" s="123" t="s">
        <v>422</v>
      </c>
      <c r="J3" s="57"/>
      <c r="K3" s="57"/>
      <c r="S3" s="57"/>
      <c r="T3" s="57"/>
      <c r="U3" s="57"/>
      <c r="V3" s="57"/>
      <c r="W3" s="57"/>
      <c r="X3" s="57"/>
      <c r="Y3" s="57"/>
      <c r="Z3" s="57"/>
      <c r="AA3" s="57"/>
    </row>
    <row r="4">
      <c r="A4" s="125" t="s">
        <v>2</v>
      </c>
      <c r="B4" s="126" t="s">
        <v>414</v>
      </c>
      <c r="C4" s="127">
        <v>12.0</v>
      </c>
      <c r="D4" s="128">
        <v>604.0</v>
      </c>
      <c r="E4" s="128">
        <v>58.0</v>
      </c>
      <c r="F4" s="128">
        <v>10.0</v>
      </c>
      <c r="G4" s="128">
        <v>54.22</v>
      </c>
      <c r="H4" s="128">
        <v>84.0</v>
      </c>
      <c r="I4" s="128">
        <v>15418.0</v>
      </c>
    </row>
    <row r="5">
      <c r="A5" s="125" t="s">
        <v>424</v>
      </c>
      <c r="B5" s="126" t="s">
        <v>414</v>
      </c>
      <c r="C5" s="127">
        <v>5.0</v>
      </c>
      <c r="D5" s="128">
        <v>2689.0</v>
      </c>
      <c r="E5" s="128">
        <v>1590.0</v>
      </c>
      <c r="F5" s="128">
        <v>274.0</v>
      </c>
      <c r="G5" s="128">
        <v>32.3</v>
      </c>
      <c r="H5" s="128">
        <v>3487.0</v>
      </c>
      <c r="I5" s="128">
        <v>82942.0</v>
      </c>
    </row>
    <row r="6">
      <c r="A6" s="125" t="s">
        <v>425</v>
      </c>
      <c r="B6" s="126" t="s">
        <v>414</v>
      </c>
      <c r="C6" s="125" t="s">
        <v>426</v>
      </c>
      <c r="D6" s="128">
        <v>0.0</v>
      </c>
      <c r="E6" s="128">
        <v>0.0</v>
      </c>
      <c r="F6" s="128">
        <v>0.0</v>
      </c>
      <c r="G6" s="63" t="s">
        <v>426</v>
      </c>
      <c r="H6" s="128">
        <v>608.0</v>
      </c>
      <c r="I6" s="128">
        <v>0.0</v>
      </c>
    </row>
    <row r="7">
      <c r="A7" s="129" t="s">
        <v>324</v>
      </c>
      <c r="B7" s="130" t="s">
        <v>414</v>
      </c>
      <c r="C7" s="131">
        <v>17.0</v>
      </c>
      <c r="D7" s="132">
        <v>3293.0</v>
      </c>
      <c r="E7" s="132">
        <v>1648.0</v>
      </c>
      <c r="F7" s="132">
        <v>284.0</v>
      </c>
      <c r="G7" s="132">
        <v>32.51</v>
      </c>
      <c r="H7" s="132">
        <v>4179.0</v>
      </c>
      <c r="I7" s="132">
        <v>98360.0</v>
      </c>
    </row>
    <row r="8">
      <c r="A8" s="129"/>
      <c r="B8" s="130"/>
      <c r="C8" s="131"/>
      <c r="D8" s="132"/>
      <c r="E8" s="132"/>
      <c r="F8" s="132"/>
      <c r="G8" s="132"/>
      <c r="H8" s="132"/>
      <c r="I8" s="132"/>
    </row>
    <row r="9">
      <c r="A9" s="125" t="s">
        <v>2</v>
      </c>
      <c r="B9" s="126" t="s">
        <v>413</v>
      </c>
      <c r="C9" s="128">
        <v>16.0</v>
      </c>
      <c r="D9" s="128">
        <v>1453.0</v>
      </c>
      <c r="E9" s="128">
        <v>147.0</v>
      </c>
      <c r="F9" s="128">
        <v>44.0</v>
      </c>
      <c r="G9" s="128">
        <v>59.37</v>
      </c>
      <c r="H9" s="128">
        <v>85.0</v>
      </c>
      <c r="I9" s="133">
        <v>27750.0</v>
      </c>
    </row>
    <row r="10">
      <c r="A10" s="125" t="s">
        <v>424</v>
      </c>
      <c r="B10" s="126" t="s">
        <v>413</v>
      </c>
      <c r="C10" s="128">
        <v>7.0</v>
      </c>
      <c r="D10" s="128">
        <v>2107.0</v>
      </c>
      <c r="E10" s="128">
        <v>1015.0</v>
      </c>
      <c r="F10" s="128">
        <v>185.0</v>
      </c>
      <c r="G10" s="128">
        <v>30.73</v>
      </c>
      <c r="H10" s="128">
        <v>1547.0</v>
      </c>
      <c r="I10" s="128">
        <v>53924.0</v>
      </c>
    </row>
    <row r="11">
      <c r="A11" s="125" t="s">
        <v>425</v>
      </c>
      <c r="B11" s="126" t="s">
        <v>413</v>
      </c>
      <c r="C11" s="63" t="s">
        <v>426</v>
      </c>
      <c r="D11" s="128">
        <v>0.0</v>
      </c>
      <c r="E11" s="128">
        <v>0.0</v>
      </c>
      <c r="F11" s="128">
        <v>0.0</v>
      </c>
      <c r="G11" s="63" t="s">
        <v>426</v>
      </c>
      <c r="H11" s="128">
        <v>467.0</v>
      </c>
      <c r="I11" s="128">
        <v>0.0</v>
      </c>
    </row>
    <row r="12">
      <c r="A12" s="129" t="s">
        <v>324</v>
      </c>
      <c r="B12" s="126" t="s">
        <v>413</v>
      </c>
      <c r="C12" s="132">
        <v>23.0</v>
      </c>
      <c r="D12" s="132">
        <v>3560.0</v>
      </c>
      <c r="E12" s="132">
        <v>1162.0</v>
      </c>
      <c r="F12" s="132">
        <v>229.0</v>
      </c>
      <c r="G12" s="132">
        <v>31.59</v>
      </c>
      <c r="H12" s="132">
        <v>2099.0</v>
      </c>
      <c r="I12" s="132">
        <v>81674.0</v>
      </c>
    </row>
    <row r="13">
      <c r="A13" s="57"/>
      <c r="B13" s="57"/>
      <c r="C13" s="57"/>
    </row>
    <row r="14">
      <c r="A14" s="125" t="s">
        <v>2</v>
      </c>
      <c r="B14" s="126" t="s">
        <v>143</v>
      </c>
      <c r="C14" s="128">
        <v>11.0</v>
      </c>
      <c r="D14" s="128">
        <v>791.0</v>
      </c>
      <c r="E14" s="128">
        <v>131.0</v>
      </c>
      <c r="F14" s="128">
        <v>24.0</v>
      </c>
      <c r="G14" s="128">
        <v>59.64</v>
      </c>
      <c r="H14" s="128">
        <v>40.0</v>
      </c>
      <c r="I14" s="128">
        <v>17746.0</v>
      </c>
    </row>
    <row r="15">
      <c r="A15" s="125" t="s">
        <v>424</v>
      </c>
      <c r="B15" s="126" t="s">
        <v>143</v>
      </c>
      <c r="C15" s="128">
        <v>7.0</v>
      </c>
      <c r="D15" s="128">
        <v>4231.0</v>
      </c>
      <c r="E15" s="128">
        <v>1887.0</v>
      </c>
      <c r="F15" s="128">
        <v>206.0</v>
      </c>
      <c r="G15" s="128">
        <v>32.37</v>
      </c>
      <c r="H15" s="128">
        <v>3384.0</v>
      </c>
      <c r="I15" s="128">
        <v>126732.0</v>
      </c>
    </row>
    <row r="16">
      <c r="A16" s="125" t="s">
        <v>425</v>
      </c>
      <c r="B16" s="126" t="s">
        <v>143</v>
      </c>
      <c r="C16" s="63" t="s">
        <v>426</v>
      </c>
      <c r="D16" s="128">
        <v>0.0</v>
      </c>
      <c r="E16" s="128">
        <v>0.0</v>
      </c>
      <c r="F16" s="128">
        <v>0.0</v>
      </c>
      <c r="G16" s="63" t="s">
        <v>426</v>
      </c>
      <c r="H16" s="128">
        <v>696.0</v>
      </c>
      <c r="I16" s="128">
        <v>0.0</v>
      </c>
    </row>
    <row r="17">
      <c r="A17" s="129" t="s">
        <v>324</v>
      </c>
      <c r="B17" s="130" t="s">
        <v>143</v>
      </c>
      <c r="C17" s="132">
        <v>18.0</v>
      </c>
      <c r="D17" s="132">
        <v>5022.0</v>
      </c>
      <c r="E17" s="132">
        <v>2018.0</v>
      </c>
      <c r="F17" s="132">
        <v>230.0</v>
      </c>
      <c r="G17" s="132">
        <v>32.56</v>
      </c>
      <c r="H17" s="132">
        <v>4120.0</v>
      </c>
      <c r="I17" s="132">
        <v>144478.0</v>
      </c>
    </row>
    <row r="18">
      <c r="A18" s="57"/>
      <c r="B18" s="57"/>
      <c r="C18" s="57"/>
    </row>
    <row r="19">
      <c r="A19" s="125" t="s">
        <v>2</v>
      </c>
      <c r="B19" s="126" t="s">
        <v>144</v>
      </c>
      <c r="C19" s="128">
        <v>16.0</v>
      </c>
      <c r="D19" s="128">
        <v>1453.0</v>
      </c>
      <c r="E19" s="128">
        <v>147.0</v>
      </c>
      <c r="F19" s="128">
        <v>44.0</v>
      </c>
      <c r="G19" s="128">
        <v>59.37</v>
      </c>
      <c r="H19" s="128">
        <v>85.0</v>
      </c>
      <c r="I19" s="133">
        <v>27750.0</v>
      </c>
    </row>
    <row r="20">
      <c r="A20" s="125" t="s">
        <v>424</v>
      </c>
      <c r="B20" s="126" t="s">
        <v>144</v>
      </c>
      <c r="C20" s="128">
        <v>7.0</v>
      </c>
      <c r="D20" s="128">
        <v>2107.0</v>
      </c>
      <c r="E20" s="128">
        <v>1015.0</v>
      </c>
      <c r="F20" s="128">
        <v>185.0</v>
      </c>
      <c r="G20" s="128">
        <v>30.73</v>
      </c>
      <c r="H20" s="128">
        <v>1547.0</v>
      </c>
      <c r="I20" s="128">
        <v>53924.0</v>
      </c>
    </row>
    <row r="21">
      <c r="A21" s="125" t="s">
        <v>425</v>
      </c>
      <c r="B21" s="126" t="s">
        <v>144</v>
      </c>
      <c r="C21" s="63" t="s">
        <v>426</v>
      </c>
      <c r="D21" s="128">
        <v>0.0</v>
      </c>
      <c r="E21" s="128">
        <v>0.0</v>
      </c>
      <c r="F21" s="128">
        <v>0.0</v>
      </c>
      <c r="G21" s="63" t="s">
        <v>426</v>
      </c>
      <c r="H21" s="128">
        <v>467.0</v>
      </c>
      <c r="I21" s="128">
        <v>0.0</v>
      </c>
    </row>
    <row r="22">
      <c r="A22" s="129" t="s">
        <v>324</v>
      </c>
      <c r="B22" s="130" t="s">
        <v>144</v>
      </c>
      <c r="C22" s="132">
        <v>23.0</v>
      </c>
      <c r="D22" s="132">
        <v>3560.0</v>
      </c>
      <c r="E22" s="132">
        <v>1162.0</v>
      </c>
      <c r="F22" s="132">
        <v>229.0</v>
      </c>
      <c r="G22" s="132">
        <v>31.59</v>
      </c>
      <c r="H22" s="132">
        <v>2099.0</v>
      </c>
      <c r="I22" s="132">
        <v>81674.0</v>
      </c>
    </row>
    <row r="23">
      <c r="A23" s="57"/>
      <c r="B23" s="57"/>
      <c r="C23" s="57"/>
    </row>
    <row r="24">
      <c r="A24" s="57"/>
      <c r="B24" s="57"/>
      <c r="C24" s="57"/>
    </row>
    <row r="25">
      <c r="A25" s="57"/>
      <c r="B25" s="57"/>
      <c r="C25" s="57"/>
    </row>
    <row r="26">
      <c r="A26" s="57"/>
      <c r="B26" s="57"/>
      <c r="C26" s="57"/>
    </row>
    <row r="27">
      <c r="A27" s="57"/>
      <c r="B27" s="57"/>
      <c r="C27" s="57"/>
    </row>
    <row r="28">
      <c r="A28" s="57"/>
      <c r="B28" s="57"/>
      <c r="C28" s="57"/>
    </row>
    <row r="29">
      <c r="A29" s="57"/>
      <c r="B29" s="57"/>
      <c r="C29" s="57"/>
    </row>
    <row r="30">
      <c r="A30" s="57"/>
      <c r="B30" s="57"/>
      <c r="C30" s="57"/>
    </row>
    <row r="31">
      <c r="A31" s="57"/>
      <c r="B31" s="57"/>
      <c r="C31" s="57"/>
    </row>
    <row r="32">
      <c r="A32" s="57"/>
      <c r="B32" s="57"/>
      <c r="C32" s="57"/>
    </row>
    <row r="33">
      <c r="A33" s="57"/>
      <c r="B33" s="57"/>
      <c r="C33" s="57"/>
    </row>
    <row r="34">
      <c r="A34" s="57"/>
      <c r="B34" s="57"/>
      <c r="C34" s="57"/>
    </row>
    <row r="35">
      <c r="A35" s="57"/>
      <c r="B35" s="57"/>
      <c r="C35" s="57"/>
    </row>
    <row r="36">
      <c r="A36" s="57"/>
      <c r="B36" s="57"/>
      <c r="C36" s="57"/>
    </row>
    <row r="37">
      <c r="A37" s="57"/>
      <c r="B37" s="57"/>
      <c r="C37" s="57"/>
    </row>
    <row r="38">
      <c r="A38" s="57"/>
      <c r="B38" s="57"/>
      <c r="C38" s="57"/>
    </row>
    <row r="39">
      <c r="A39" s="57"/>
      <c r="B39" s="57"/>
      <c r="C39" s="57"/>
    </row>
    <row r="40">
      <c r="A40" s="57"/>
      <c r="B40" s="57"/>
      <c r="C40" s="57"/>
    </row>
    <row r="41">
      <c r="A41" s="57"/>
      <c r="B41" s="57"/>
      <c r="C41" s="57"/>
    </row>
    <row r="42">
      <c r="A42" s="57"/>
      <c r="B42" s="57"/>
      <c r="C42" s="57"/>
    </row>
    <row r="43">
      <c r="A43" s="57"/>
      <c r="B43" s="57"/>
      <c r="C43" s="57"/>
    </row>
    <row r="45"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</row>
    <row r="65">
      <c r="A65" s="57"/>
      <c r="B65" s="57"/>
      <c r="C65" s="57"/>
    </row>
    <row r="66">
      <c r="A66" s="57"/>
      <c r="B66" s="57"/>
      <c r="C66" s="57"/>
    </row>
    <row r="67">
      <c r="A67" s="57"/>
      <c r="B67" s="57"/>
      <c r="C67" s="57"/>
    </row>
    <row r="68">
      <c r="A68" s="57"/>
      <c r="B68" s="57"/>
      <c r="C68" s="57"/>
    </row>
    <row r="69">
      <c r="A69" s="57"/>
      <c r="B69" s="57"/>
      <c r="C69" s="57"/>
    </row>
    <row r="70">
      <c r="A70" s="57"/>
      <c r="B70" s="57"/>
      <c r="C70" s="57"/>
    </row>
    <row r="71">
      <c r="A71" s="57"/>
      <c r="B71" s="57"/>
      <c r="C71" s="57"/>
    </row>
    <row r="72">
      <c r="A72" s="57"/>
      <c r="B72" s="57"/>
      <c r="C72" s="57"/>
    </row>
    <row r="73">
      <c r="A73" s="57"/>
      <c r="B73" s="57"/>
      <c r="C73" s="57"/>
    </row>
    <row r="74">
      <c r="A74" s="57"/>
      <c r="B74" s="57"/>
      <c r="C74" s="57"/>
    </row>
    <row r="75">
      <c r="A75" s="57"/>
      <c r="B75" s="57"/>
      <c r="C75" s="57"/>
    </row>
    <row r="76">
      <c r="A76" s="57"/>
      <c r="B76" s="57"/>
      <c r="C76" s="57"/>
    </row>
    <row r="77">
      <c r="A77" s="57"/>
      <c r="B77" s="57"/>
      <c r="C77" s="57"/>
    </row>
    <row r="78">
      <c r="A78" s="57"/>
      <c r="B78" s="57"/>
      <c r="C78" s="57"/>
    </row>
    <row r="79">
      <c r="A79" s="57"/>
      <c r="B79" s="57"/>
      <c r="C79" s="57"/>
    </row>
    <row r="80">
      <c r="A80" s="57"/>
      <c r="B80" s="57"/>
      <c r="C80" s="57"/>
    </row>
    <row r="81">
      <c r="A81" s="57"/>
      <c r="B81" s="57"/>
      <c r="C81" s="57"/>
    </row>
    <row r="82">
      <c r="A82" s="57"/>
      <c r="B82" s="57"/>
      <c r="C82" s="57"/>
    </row>
    <row r="83">
      <c r="A83" s="57"/>
      <c r="B83" s="57"/>
      <c r="C83" s="57"/>
    </row>
    <row r="84">
      <c r="A84" s="57"/>
      <c r="B84" s="57"/>
      <c r="C84" s="57"/>
    </row>
    <row r="85">
      <c r="A85" s="57"/>
      <c r="B85" s="57"/>
      <c r="C85" s="57"/>
    </row>
    <row r="86">
      <c r="A86" s="57"/>
      <c r="B86" s="57"/>
      <c r="C86" s="57"/>
    </row>
    <row r="87">
      <c r="A87" s="57"/>
      <c r="B87" s="57"/>
      <c r="C87" s="57"/>
    </row>
    <row r="88">
      <c r="A88" s="57"/>
      <c r="B88" s="57"/>
      <c r="C88" s="57"/>
    </row>
    <row r="89">
      <c r="A89" s="57"/>
      <c r="B89" s="57"/>
      <c r="C89" s="57"/>
    </row>
    <row r="90">
      <c r="A90" s="57"/>
      <c r="B90" s="57"/>
      <c r="C90" s="57"/>
    </row>
    <row r="91">
      <c r="A91" s="57"/>
      <c r="B91" s="57"/>
      <c r="C91" s="57"/>
    </row>
    <row r="92">
      <c r="A92" s="57"/>
      <c r="B92" s="57"/>
      <c r="C92" s="57"/>
    </row>
    <row r="93">
      <c r="A93" s="57"/>
      <c r="B93" s="57"/>
      <c r="C93" s="57"/>
    </row>
    <row r="94">
      <c r="A94" s="57"/>
      <c r="B94" s="57"/>
      <c r="C94" s="57"/>
    </row>
    <row r="95">
      <c r="A95" s="57"/>
      <c r="B95" s="57"/>
      <c r="C95" s="57"/>
    </row>
    <row r="96">
      <c r="A96" s="57"/>
      <c r="B96" s="57"/>
      <c r="C96" s="57"/>
    </row>
    <row r="97">
      <c r="A97" s="57"/>
      <c r="B97" s="57"/>
      <c r="C97" s="57"/>
    </row>
    <row r="98">
      <c r="A98" s="57"/>
      <c r="B98" s="57"/>
      <c r="C98" s="57"/>
    </row>
    <row r="99">
      <c r="A99" s="57"/>
      <c r="B99" s="57"/>
      <c r="C99" s="57"/>
    </row>
    <row r="100">
      <c r="A100" s="57"/>
      <c r="B100" s="57"/>
      <c r="C100" s="57"/>
    </row>
    <row r="101">
      <c r="A101" s="57"/>
      <c r="B101" s="57"/>
      <c r="C101" s="57"/>
    </row>
    <row r="102">
      <c r="A102" s="57"/>
      <c r="B102" s="57"/>
      <c r="C102" s="57"/>
    </row>
    <row r="103">
      <c r="A103" s="57"/>
      <c r="B103" s="57"/>
      <c r="C103" s="57"/>
    </row>
    <row r="104">
      <c r="A104" s="57"/>
      <c r="B104" s="57"/>
      <c r="C104" s="57"/>
    </row>
    <row r="105">
      <c r="A105" s="57"/>
      <c r="B105" s="57"/>
      <c r="C105" s="57"/>
    </row>
    <row r="106">
      <c r="A106" s="57"/>
      <c r="B106" s="57"/>
      <c r="C106" s="57"/>
    </row>
    <row r="107">
      <c r="A107" s="57"/>
      <c r="B107" s="57"/>
      <c r="C107" s="57"/>
    </row>
    <row r="108">
      <c r="A108" s="57"/>
      <c r="B108" s="57"/>
      <c r="C108" s="57"/>
    </row>
    <row r="109">
      <c r="A109" s="57"/>
      <c r="B109" s="57"/>
      <c r="C109" s="57"/>
    </row>
    <row r="110">
      <c r="A110" s="57"/>
      <c r="B110" s="57"/>
      <c r="C110" s="57"/>
    </row>
    <row r="111">
      <c r="A111" s="57"/>
      <c r="B111" s="57"/>
      <c r="C111" s="57"/>
    </row>
    <row r="112">
      <c r="A112" s="57"/>
      <c r="B112" s="57"/>
      <c r="C112" s="57"/>
    </row>
    <row r="113">
      <c r="A113" s="57"/>
      <c r="B113" s="57"/>
      <c r="C113" s="57"/>
    </row>
    <row r="114">
      <c r="A114" s="57"/>
      <c r="B114" s="57"/>
      <c r="C114" s="57"/>
    </row>
    <row r="115">
      <c r="A115" s="57"/>
      <c r="B115" s="57"/>
      <c r="C115" s="57"/>
    </row>
    <row r="116">
      <c r="A116" s="57"/>
      <c r="B116" s="57"/>
      <c r="C116" s="57"/>
    </row>
    <row r="117">
      <c r="A117" s="57"/>
      <c r="B117" s="57"/>
      <c r="C117" s="57"/>
    </row>
    <row r="118">
      <c r="A118" s="57"/>
      <c r="B118" s="57"/>
      <c r="C118" s="57"/>
    </row>
    <row r="119">
      <c r="A119" s="57"/>
      <c r="B119" s="57"/>
      <c r="C119" s="57"/>
    </row>
    <row r="120">
      <c r="A120" s="57"/>
      <c r="B120" s="57"/>
      <c r="C120" s="57"/>
    </row>
    <row r="121">
      <c r="A121" s="57"/>
      <c r="B121" s="57"/>
      <c r="C121" s="57"/>
    </row>
    <row r="122">
      <c r="A122" s="57"/>
      <c r="B122" s="57"/>
      <c r="C122" s="57"/>
    </row>
    <row r="123">
      <c r="A123" s="57"/>
      <c r="B123" s="57"/>
      <c r="C123" s="57"/>
    </row>
    <row r="124">
      <c r="A124" s="57"/>
      <c r="B124" s="57"/>
      <c r="C124" s="57"/>
    </row>
    <row r="125">
      <c r="A125" s="57"/>
      <c r="B125" s="57"/>
      <c r="C125" s="57"/>
    </row>
    <row r="126">
      <c r="A126" s="57"/>
      <c r="B126" s="57"/>
      <c r="C126" s="57"/>
    </row>
    <row r="127">
      <c r="A127" s="57"/>
      <c r="B127" s="57"/>
      <c r="C127" s="57"/>
    </row>
    <row r="128">
      <c r="A128" s="57"/>
      <c r="B128" s="57"/>
      <c r="C128" s="57"/>
    </row>
    <row r="129">
      <c r="A129" s="57"/>
      <c r="B129" s="57"/>
      <c r="C129" s="57"/>
    </row>
    <row r="130">
      <c r="A130" s="57"/>
      <c r="B130" s="57"/>
      <c r="C130" s="57"/>
    </row>
    <row r="131">
      <c r="A131" s="57"/>
      <c r="B131" s="57"/>
      <c r="C131" s="57"/>
    </row>
    <row r="132">
      <c r="A132" s="57"/>
      <c r="B132" s="57"/>
      <c r="C132" s="57"/>
    </row>
    <row r="133">
      <c r="A133" s="57"/>
      <c r="B133" s="57"/>
      <c r="C133" s="57"/>
    </row>
    <row r="134">
      <c r="A134" s="57"/>
      <c r="B134" s="57"/>
      <c r="C134" s="57"/>
    </row>
    <row r="135">
      <c r="A135" s="57"/>
      <c r="B135" s="57"/>
      <c r="C135" s="57"/>
    </row>
    <row r="136">
      <c r="A136" s="57"/>
      <c r="B136" s="57"/>
      <c r="C136" s="57"/>
    </row>
    <row r="137">
      <c r="A137" s="57"/>
      <c r="B137" s="57"/>
      <c r="C137" s="57"/>
    </row>
    <row r="138">
      <c r="A138" s="57"/>
      <c r="B138" s="57"/>
      <c r="C138" s="57"/>
    </row>
    <row r="139">
      <c r="A139" s="57"/>
      <c r="B139" s="57"/>
      <c r="C139" s="57"/>
    </row>
    <row r="140">
      <c r="A140" s="57"/>
      <c r="B140" s="57"/>
      <c r="C140" s="57"/>
    </row>
    <row r="141">
      <c r="A141" s="57"/>
      <c r="B141" s="57"/>
      <c r="C141" s="57"/>
    </row>
    <row r="142">
      <c r="A142" s="57"/>
      <c r="B142" s="57"/>
      <c r="C142" s="57"/>
    </row>
    <row r="143">
      <c r="A143" s="57"/>
      <c r="B143" s="57"/>
      <c r="C143" s="57"/>
    </row>
    <row r="144">
      <c r="A144" s="57"/>
      <c r="B144" s="57"/>
      <c r="C144" s="57"/>
    </row>
    <row r="145">
      <c r="A145" s="57"/>
      <c r="B145" s="57"/>
      <c r="C145" s="57"/>
    </row>
    <row r="146">
      <c r="A146" s="57"/>
      <c r="B146" s="57"/>
      <c r="C146" s="57"/>
    </row>
    <row r="147">
      <c r="A147" s="57"/>
      <c r="B147" s="57"/>
      <c r="C147" s="57"/>
    </row>
    <row r="148">
      <c r="A148" s="57"/>
      <c r="B148" s="57"/>
      <c r="C148" s="57"/>
    </row>
    <row r="149">
      <c r="A149" s="57"/>
      <c r="B149" s="57"/>
      <c r="C149" s="57"/>
    </row>
    <row r="150">
      <c r="A150" s="57"/>
      <c r="B150" s="57"/>
      <c r="C150" s="57"/>
    </row>
    <row r="151">
      <c r="A151" s="57"/>
      <c r="B151" s="57"/>
      <c r="C151" s="57"/>
    </row>
    <row r="152">
      <c r="A152" s="57"/>
      <c r="B152" s="57"/>
      <c r="C152" s="57"/>
    </row>
    <row r="153">
      <c r="A153" s="57"/>
      <c r="B153" s="57"/>
      <c r="C153" s="57"/>
    </row>
    <row r="154">
      <c r="A154" s="57"/>
      <c r="B154" s="57"/>
      <c r="C154" s="57"/>
    </row>
    <row r="155">
      <c r="A155" s="57"/>
      <c r="B155" s="57"/>
      <c r="C155" s="57"/>
    </row>
    <row r="156">
      <c r="A156" s="57"/>
      <c r="B156" s="57"/>
      <c r="C156" s="57"/>
    </row>
    <row r="157">
      <c r="A157" s="57"/>
      <c r="B157" s="57"/>
      <c r="C157" s="57"/>
    </row>
    <row r="158">
      <c r="A158" s="57"/>
      <c r="B158" s="57"/>
      <c r="C158" s="57"/>
    </row>
    <row r="159">
      <c r="A159" s="57"/>
      <c r="B159" s="57"/>
      <c r="C159" s="57"/>
    </row>
    <row r="160">
      <c r="A160" s="57"/>
      <c r="B160" s="57"/>
      <c r="C160" s="57"/>
    </row>
    <row r="161">
      <c r="A161" s="57"/>
      <c r="B161" s="57"/>
      <c r="C161" s="57"/>
    </row>
    <row r="162">
      <c r="A162" s="57"/>
      <c r="B162" s="57"/>
      <c r="C162" s="57"/>
    </row>
    <row r="163">
      <c r="A163" s="57"/>
      <c r="B163" s="57"/>
      <c r="C163" s="57"/>
    </row>
    <row r="164">
      <c r="A164" s="57"/>
      <c r="B164" s="57"/>
      <c r="C164" s="57"/>
    </row>
    <row r="165">
      <c r="A165" s="57"/>
      <c r="B165" s="57"/>
      <c r="C165" s="57"/>
    </row>
    <row r="166">
      <c r="A166" s="57"/>
      <c r="B166" s="57"/>
      <c r="C166" s="57"/>
    </row>
    <row r="167">
      <c r="A167" s="57"/>
      <c r="B167" s="57"/>
      <c r="C167" s="57"/>
    </row>
    <row r="168">
      <c r="A168" s="57"/>
      <c r="B168" s="57"/>
      <c r="C168" s="57"/>
    </row>
    <row r="169">
      <c r="A169" s="57"/>
      <c r="B169" s="57"/>
      <c r="C169" s="57"/>
    </row>
    <row r="170">
      <c r="A170" s="57"/>
      <c r="B170" s="57"/>
      <c r="C170" s="57"/>
    </row>
    <row r="171">
      <c r="A171" s="57"/>
      <c r="B171" s="57"/>
      <c r="C171" s="57"/>
    </row>
    <row r="172">
      <c r="A172" s="57"/>
      <c r="B172" s="57"/>
      <c r="C172" s="57"/>
    </row>
    <row r="173">
      <c r="A173" s="57"/>
      <c r="B173" s="57"/>
      <c r="C173" s="57"/>
    </row>
    <row r="174">
      <c r="A174" s="57"/>
      <c r="B174" s="57"/>
      <c r="C174" s="57"/>
    </row>
    <row r="175">
      <c r="A175" s="57"/>
      <c r="B175" s="57"/>
      <c r="C175" s="57"/>
    </row>
    <row r="176">
      <c r="A176" s="57"/>
      <c r="B176" s="57"/>
      <c r="C176" s="57"/>
    </row>
    <row r="177">
      <c r="A177" s="57"/>
      <c r="B177" s="57"/>
      <c r="C177" s="57"/>
    </row>
    <row r="178">
      <c r="A178" s="57"/>
      <c r="B178" s="57"/>
      <c r="C178" s="57"/>
    </row>
    <row r="179">
      <c r="A179" s="57"/>
      <c r="B179" s="57"/>
      <c r="C179" s="57"/>
    </row>
    <row r="180">
      <c r="A180" s="57"/>
      <c r="B180" s="57"/>
      <c r="C180" s="57"/>
    </row>
    <row r="181">
      <c r="A181" s="57"/>
      <c r="B181" s="57"/>
      <c r="C181" s="57"/>
    </row>
    <row r="182">
      <c r="A182" s="57"/>
      <c r="B182" s="57"/>
      <c r="C182" s="57"/>
    </row>
    <row r="183">
      <c r="A183" s="57"/>
      <c r="B183" s="57"/>
      <c r="C183" s="57"/>
    </row>
    <row r="184">
      <c r="A184" s="57"/>
      <c r="B184" s="57"/>
      <c r="C184" s="57"/>
    </row>
    <row r="185">
      <c r="A185" s="57"/>
      <c r="B185" s="57"/>
      <c r="C185" s="57"/>
    </row>
    <row r="186">
      <c r="A186" s="57"/>
      <c r="B186" s="57"/>
      <c r="C186" s="57"/>
    </row>
    <row r="187">
      <c r="A187" s="57"/>
      <c r="B187" s="57"/>
      <c r="C187" s="57"/>
    </row>
    <row r="188">
      <c r="A188" s="57"/>
      <c r="B188" s="57"/>
      <c r="C188" s="57"/>
    </row>
    <row r="189">
      <c r="A189" s="57"/>
      <c r="B189" s="57"/>
      <c r="C189" s="57"/>
    </row>
    <row r="190">
      <c r="A190" s="57"/>
      <c r="B190" s="57"/>
      <c r="C190" s="57"/>
    </row>
    <row r="191">
      <c r="A191" s="57"/>
      <c r="B191" s="57"/>
      <c r="C191" s="57"/>
    </row>
    <row r="192">
      <c r="A192" s="57"/>
      <c r="B192" s="57"/>
      <c r="C192" s="57"/>
    </row>
    <row r="193">
      <c r="A193" s="57"/>
      <c r="B193" s="57"/>
      <c r="C193" s="57"/>
    </row>
    <row r="194">
      <c r="A194" s="57"/>
      <c r="B194" s="57"/>
      <c r="C194" s="57"/>
    </row>
    <row r="195">
      <c r="A195" s="57"/>
      <c r="B195" s="57"/>
      <c r="C195" s="57"/>
    </row>
    <row r="196">
      <c r="A196" s="57"/>
      <c r="B196" s="57"/>
      <c r="C196" s="57"/>
    </row>
    <row r="197">
      <c r="A197" s="57"/>
      <c r="B197" s="57"/>
      <c r="C197" s="57"/>
    </row>
    <row r="198">
      <c r="A198" s="57"/>
      <c r="B198" s="57"/>
      <c r="C198" s="57"/>
    </row>
    <row r="199">
      <c r="A199" s="57"/>
      <c r="B199" s="57"/>
      <c r="C199" s="57"/>
    </row>
    <row r="200">
      <c r="A200" s="57"/>
      <c r="B200" s="57"/>
      <c r="C200" s="57"/>
    </row>
    <row r="201">
      <c r="A201" s="57"/>
      <c r="B201" s="57"/>
      <c r="C201" s="57"/>
    </row>
    <row r="202">
      <c r="A202" s="57"/>
      <c r="B202" s="57"/>
      <c r="C202" s="57"/>
    </row>
    <row r="203">
      <c r="A203" s="57"/>
      <c r="B203" s="57"/>
      <c r="C203" s="57"/>
    </row>
    <row r="204">
      <c r="A204" s="57"/>
      <c r="B204" s="57"/>
      <c r="C204" s="57"/>
    </row>
    <row r="205">
      <c r="A205" s="57"/>
      <c r="B205" s="57"/>
      <c r="C205" s="57"/>
    </row>
    <row r="206">
      <c r="A206" s="57"/>
      <c r="B206" s="57"/>
      <c r="C206" s="57"/>
    </row>
    <row r="207">
      <c r="A207" s="57"/>
      <c r="B207" s="57"/>
      <c r="C207" s="57"/>
    </row>
    <row r="208">
      <c r="A208" s="57"/>
      <c r="B208" s="57"/>
      <c r="C208" s="57"/>
    </row>
    <row r="209">
      <c r="A209" s="57"/>
      <c r="B209" s="57"/>
      <c r="C209" s="57"/>
    </row>
    <row r="210">
      <c r="A210" s="57"/>
      <c r="B210" s="57"/>
      <c r="C210" s="57"/>
    </row>
    <row r="211">
      <c r="A211" s="57"/>
      <c r="B211" s="57"/>
      <c r="C211" s="57"/>
    </row>
    <row r="212">
      <c r="A212" s="57"/>
      <c r="B212" s="57"/>
      <c r="C212" s="57"/>
    </row>
    <row r="213">
      <c r="A213" s="57"/>
      <c r="B213" s="57"/>
      <c r="C213" s="57"/>
    </row>
    <row r="214">
      <c r="A214" s="57"/>
      <c r="B214" s="57"/>
      <c r="C214" s="57"/>
    </row>
    <row r="215">
      <c r="A215" s="57"/>
      <c r="B215" s="57"/>
      <c r="C215" s="57"/>
    </row>
    <row r="216">
      <c r="A216" s="57"/>
      <c r="B216" s="57"/>
      <c r="C216" s="57"/>
    </row>
    <row r="217">
      <c r="A217" s="57"/>
      <c r="B217" s="57"/>
      <c r="C217" s="57"/>
    </row>
    <row r="218">
      <c r="A218" s="57"/>
      <c r="B218" s="57"/>
      <c r="C218" s="57"/>
    </row>
    <row r="219">
      <c r="A219" s="57"/>
      <c r="B219" s="57"/>
      <c r="C219" s="57"/>
    </row>
    <row r="220">
      <c r="A220" s="57"/>
      <c r="B220" s="57"/>
      <c r="C220" s="57"/>
    </row>
    <row r="221">
      <c r="A221" s="57"/>
      <c r="B221" s="57"/>
      <c r="C221" s="57"/>
    </row>
    <row r="222">
      <c r="A222" s="57"/>
      <c r="B222" s="57"/>
      <c r="C222" s="57"/>
    </row>
    <row r="223">
      <c r="A223" s="57"/>
      <c r="B223" s="57"/>
      <c r="C223" s="57"/>
    </row>
    <row r="224">
      <c r="A224" s="57"/>
      <c r="B224" s="57"/>
      <c r="C224" s="57"/>
    </row>
    <row r="225">
      <c r="A225" s="57"/>
      <c r="B225" s="57"/>
      <c r="C225" s="57"/>
    </row>
    <row r="226">
      <c r="A226" s="57"/>
      <c r="B226" s="57"/>
      <c r="C226" s="57"/>
    </row>
    <row r="227">
      <c r="A227" s="57"/>
      <c r="B227" s="57"/>
      <c r="C227" s="57"/>
    </row>
    <row r="228">
      <c r="A228" s="57"/>
      <c r="B228" s="57"/>
      <c r="C228" s="57"/>
    </row>
    <row r="229">
      <c r="A229" s="57"/>
      <c r="B229" s="57"/>
      <c r="C229" s="57"/>
    </row>
    <row r="230">
      <c r="A230" s="57"/>
      <c r="B230" s="57"/>
      <c r="C230" s="57"/>
    </row>
    <row r="231">
      <c r="A231" s="57"/>
      <c r="B231" s="57"/>
      <c r="C231" s="57"/>
    </row>
    <row r="232">
      <c r="A232" s="57"/>
      <c r="B232" s="57"/>
      <c r="C232" s="57"/>
    </row>
    <row r="233">
      <c r="A233" s="57"/>
      <c r="B233" s="57"/>
      <c r="C233" s="57"/>
    </row>
    <row r="234">
      <c r="A234" s="57"/>
      <c r="B234" s="57"/>
      <c r="C234" s="57"/>
    </row>
    <row r="235">
      <c r="A235" s="57"/>
      <c r="B235" s="57"/>
      <c r="C235" s="57"/>
    </row>
    <row r="236">
      <c r="A236" s="57"/>
      <c r="B236" s="57"/>
      <c r="C236" s="57"/>
    </row>
    <row r="237">
      <c r="A237" s="57"/>
      <c r="B237" s="57"/>
      <c r="C237" s="57"/>
    </row>
    <row r="238">
      <c r="A238" s="57"/>
      <c r="B238" s="57"/>
      <c r="C238" s="57"/>
    </row>
    <row r="239">
      <c r="A239" s="57"/>
      <c r="B239" s="57"/>
      <c r="C239" s="57"/>
    </row>
    <row r="240">
      <c r="A240" s="57"/>
      <c r="B240" s="57"/>
      <c r="C240" s="57"/>
    </row>
    <row r="241">
      <c r="A241" s="57"/>
      <c r="B241" s="57"/>
      <c r="C241" s="57"/>
    </row>
    <row r="242">
      <c r="A242" s="57"/>
      <c r="B242" s="57"/>
      <c r="C242" s="57"/>
    </row>
    <row r="243">
      <c r="A243" s="57"/>
      <c r="B243" s="57"/>
      <c r="C243" s="57"/>
    </row>
    <row r="244">
      <c r="A244" s="57"/>
      <c r="B244" s="57"/>
      <c r="C244" s="57"/>
    </row>
    <row r="245">
      <c r="A245" s="57"/>
      <c r="B245" s="57"/>
      <c r="C245" s="57"/>
    </row>
    <row r="246">
      <c r="A246" s="57"/>
      <c r="B246" s="57"/>
      <c r="C246" s="57"/>
    </row>
    <row r="247">
      <c r="A247" s="57"/>
      <c r="B247" s="57"/>
      <c r="C247" s="57"/>
    </row>
    <row r="248">
      <c r="A248" s="57"/>
      <c r="B248" s="57"/>
      <c r="C248" s="57"/>
    </row>
    <row r="249">
      <c r="A249" s="57"/>
      <c r="B249" s="57"/>
      <c r="C249" s="57"/>
    </row>
    <row r="250">
      <c r="A250" s="57"/>
      <c r="B250" s="57"/>
      <c r="C250" s="57"/>
    </row>
    <row r="251">
      <c r="A251" s="57"/>
      <c r="B251" s="57"/>
      <c r="C251" s="57"/>
    </row>
    <row r="252">
      <c r="A252" s="57"/>
      <c r="B252" s="57"/>
      <c r="C252" s="57"/>
    </row>
    <row r="253">
      <c r="A253" s="57"/>
      <c r="B253" s="57"/>
      <c r="C253" s="57"/>
    </row>
    <row r="254">
      <c r="A254" s="57"/>
      <c r="B254" s="57"/>
      <c r="C254" s="57"/>
    </row>
    <row r="255">
      <c r="A255" s="57"/>
      <c r="B255" s="57"/>
      <c r="C255" s="57"/>
    </row>
    <row r="256">
      <c r="A256" s="57"/>
      <c r="B256" s="57"/>
      <c r="C256" s="57"/>
    </row>
    <row r="257">
      <c r="A257" s="57"/>
      <c r="B257" s="57"/>
      <c r="C257" s="57"/>
    </row>
    <row r="258">
      <c r="A258" s="57"/>
      <c r="B258" s="57"/>
      <c r="C258" s="57"/>
    </row>
    <row r="259">
      <c r="A259" s="57"/>
      <c r="B259" s="57"/>
      <c r="C259" s="57"/>
    </row>
    <row r="260">
      <c r="A260" s="57"/>
      <c r="B260" s="57"/>
      <c r="C260" s="57"/>
    </row>
    <row r="261">
      <c r="A261" s="57"/>
      <c r="B261" s="57"/>
      <c r="C261" s="57"/>
    </row>
    <row r="262">
      <c r="A262" s="57"/>
      <c r="B262" s="57"/>
      <c r="C262" s="57"/>
    </row>
    <row r="263">
      <c r="A263" s="57"/>
      <c r="B263" s="57"/>
      <c r="C263" s="57"/>
    </row>
    <row r="264">
      <c r="A264" s="57"/>
      <c r="B264" s="57"/>
      <c r="C264" s="57"/>
    </row>
    <row r="265">
      <c r="A265" s="57"/>
      <c r="B265" s="57"/>
      <c r="C265" s="57"/>
    </row>
    <row r="266">
      <c r="A266" s="57"/>
      <c r="B266" s="57"/>
      <c r="C266" s="57"/>
    </row>
    <row r="267">
      <c r="A267" s="57"/>
      <c r="B267" s="57"/>
      <c r="C267" s="57"/>
    </row>
    <row r="268">
      <c r="A268" s="57"/>
      <c r="B268" s="57"/>
      <c r="C268" s="57"/>
    </row>
    <row r="269">
      <c r="A269" s="57"/>
      <c r="B269" s="57"/>
      <c r="C269" s="57"/>
    </row>
    <row r="270">
      <c r="A270" s="57"/>
      <c r="B270" s="57"/>
      <c r="C270" s="57"/>
    </row>
    <row r="271">
      <c r="A271" s="57"/>
      <c r="B271" s="57"/>
      <c r="C271" s="57"/>
    </row>
    <row r="272">
      <c r="A272" s="57"/>
      <c r="B272" s="57"/>
      <c r="C272" s="57"/>
    </row>
    <row r="273">
      <c r="A273" s="57"/>
      <c r="B273" s="57"/>
      <c r="C273" s="57"/>
    </row>
    <row r="274">
      <c r="A274" s="57"/>
      <c r="B274" s="57"/>
      <c r="C274" s="57"/>
    </row>
    <row r="275">
      <c r="A275" s="57"/>
      <c r="B275" s="57"/>
      <c r="C275" s="57"/>
    </row>
    <row r="276">
      <c r="A276" s="57"/>
      <c r="B276" s="57"/>
      <c r="C276" s="57"/>
    </row>
    <row r="277">
      <c r="A277" s="57"/>
      <c r="B277" s="57"/>
      <c r="C277" s="57"/>
    </row>
    <row r="278">
      <c r="A278" s="57"/>
      <c r="B278" s="57"/>
      <c r="C278" s="57"/>
    </row>
    <row r="279">
      <c r="A279" s="57"/>
      <c r="B279" s="57"/>
      <c r="C279" s="57"/>
    </row>
    <row r="280">
      <c r="A280" s="57"/>
      <c r="B280" s="57"/>
      <c r="C280" s="57"/>
    </row>
    <row r="281">
      <c r="A281" s="57"/>
      <c r="B281" s="57"/>
      <c r="C281" s="57"/>
    </row>
    <row r="282">
      <c r="A282" s="57"/>
      <c r="B282" s="57"/>
      <c r="C282" s="57"/>
    </row>
    <row r="283">
      <c r="A283" s="57"/>
      <c r="B283" s="57"/>
      <c r="C283" s="57"/>
    </row>
    <row r="284">
      <c r="A284" s="57"/>
      <c r="B284" s="57"/>
      <c r="C284" s="57"/>
    </row>
    <row r="285">
      <c r="A285" s="57"/>
      <c r="B285" s="57"/>
      <c r="C285" s="57"/>
    </row>
    <row r="286">
      <c r="A286" s="57"/>
      <c r="B286" s="57"/>
      <c r="C286" s="57"/>
    </row>
    <row r="287">
      <c r="A287" s="57"/>
      <c r="B287" s="57"/>
      <c r="C287" s="57"/>
    </row>
    <row r="288">
      <c r="A288" s="57"/>
      <c r="B288" s="57"/>
      <c r="C288" s="57"/>
    </row>
    <row r="289">
      <c r="A289" s="57"/>
      <c r="B289" s="57"/>
      <c r="C289" s="57"/>
    </row>
    <row r="290">
      <c r="A290" s="57"/>
      <c r="B290" s="57"/>
      <c r="C290" s="57"/>
    </row>
    <row r="291">
      <c r="A291" s="57"/>
      <c r="B291" s="57"/>
      <c r="C291" s="57"/>
    </row>
    <row r="292">
      <c r="A292" s="57"/>
      <c r="B292" s="57"/>
      <c r="C292" s="57"/>
    </row>
    <row r="293">
      <c r="A293" s="57"/>
      <c r="B293" s="57"/>
      <c r="C293" s="57"/>
    </row>
    <row r="294">
      <c r="A294" s="57"/>
      <c r="B294" s="57"/>
      <c r="C294" s="57"/>
    </row>
    <row r="295">
      <c r="A295" s="57"/>
      <c r="B295" s="57"/>
      <c r="C295" s="57"/>
    </row>
    <row r="296">
      <c r="A296" s="57"/>
      <c r="B296" s="57"/>
      <c r="C296" s="57"/>
    </row>
    <row r="297">
      <c r="A297" s="57"/>
      <c r="B297" s="57"/>
      <c r="C297" s="57"/>
    </row>
    <row r="298">
      <c r="A298" s="57"/>
      <c r="B298" s="57"/>
      <c r="C298" s="57"/>
    </row>
    <row r="299">
      <c r="A299" s="57"/>
      <c r="B299" s="57"/>
      <c r="C299" s="57"/>
    </row>
    <row r="300">
      <c r="A300" s="57"/>
      <c r="B300" s="57"/>
      <c r="C300" s="57"/>
    </row>
    <row r="301">
      <c r="A301" s="57"/>
      <c r="B301" s="57"/>
      <c r="C301" s="57"/>
    </row>
    <row r="302">
      <c r="A302" s="57"/>
      <c r="B302" s="57"/>
      <c r="C302" s="57"/>
    </row>
    <row r="303">
      <c r="A303" s="57"/>
      <c r="B303" s="57"/>
      <c r="C303" s="57"/>
    </row>
    <row r="304">
      <c r="A304" s="57"/>
      <c r="B304" s="57"/>
      <c r="C304" s="57"/>
    </row>
    <row r="305">
      <c r="A305" s="57"/>
      <c r="B305" s="57"/>
      <c r="C305" s="57"/>
    </row>
    <row r="306">
      <c r="A306" s="57"/>
      <c r="B306" s="57"/>
      <c r="C306" s="57"/>
    </row>
    <row r="307">
      <c r="A307" s="57"/>
      <c r="B307" s="57"/>
      <c r="C307" s="57"/>
    </row>
    <row r="308">
      <c r="A308" s="57"/>
      <c r="B308" s="57"/>
      <c r="C308" s="57"/>
    </row>
    <row r="309">
      <c r="A309" s="57"/>
      <c r="B309" s="57"/>
      <c r="C309" s="57"/>
    </row>
    <row r="310">
      <c r="A310" s="57"/>
      <c r="B310" s="57"/>
      <c r="C310" s="57"/>
    </row>
    <row r="311">
      <c r="A311" s="57"/>
      <c r="B311" s="57"/>
      <c r="C311" s="57"/>
    </row>
    <row r="312">
      <c r="A312" s="57"/>
      <c r="B312" s="57"/>
      <c r="C312" s="57"/>
    </row>
    <row r="313">
      <c r="A313" s="57"/>
      <c r="B313" s="57"/>
      <c r="C313" s="57"/>
    </row>
    <row r="314">
      <c r="A314" s="57"/>
      <c r="B314" s="57"/>
      <c r="C314" s="57"/>
    </row>
    <row r="315">
      <c r="A315" s="57"/>
      <c r="B315" s="57"/>
      <c r="C315" s="57"/>
    </row>
    <row r="316">
      <c r="A316" s="57"/>
      <c r="B316" s="57"/>
      <c r="C316" s="57"/>
    </row>
    <row r="317">
      <c r="A317" s="57"/>
      <c r="B317" s="57"/>
      <c r="C317" s="57"/>
    </row>
    <row r="318">
      <c r="A318" s="57"/>
      <c r="B318" s="57"/>
      <c r="C318" s="57"/>
    </row>
    <row r="319">
      <c r="A319" s="57"/>
      <c r="B319" s="57"/>
      <c r="C319" s="57"/>
    </row>
    <row r="320">
      <c r="A320" s="57"/>
      <c r="B320" s="57"/>
      <c r="C320" s="57"/>
    </row>
    <row r="321">
      <c r="A321" s="57"/>
      <c r="B321" s="57"/>
      <c r="C321" s="57"/>
    </row>
    <row r="322">
      <c r="A322" s="57"/>
      <c r="B322" s="57"/>
      <c r="C322" s="57"/>
    </row>
    <row r="323">
      <c r="A323" s="57"/>
      <c r="B323" s="57"/>
      <c r="C323" s="57"/>
    </row>
    <row r="324">
      <c r="A324" s="57"/>
      <c r="B324" s="57"/>
      <c r="C324" s="57"/>
    </row>
    <row r="325">
      <c r="A325" s="57"/>
      <c r="B325" s="57"/>
      <c r="C325" s="57"/>
    </row>
    <row r="326">
      <c r="A326" s="57"/>
      <c r="B326" s="57"/>
      <c r="C326" s="57"/>
    </row>
    <row r="327">
      <c r="A327" s="57"/>
      <c r="B327" s="57"/>
      <c r="C327" s="57"/>
    </row>
    <row r="328">
      <c r="A328" s="57"/>
      <c r="B328" s="57"/>
      <c r="C328" s="57"/>
    </row>
    <row r="329">
      <c r="A329" s="57"/>
      <c r="B329" s="57"/>
      <c r="C329" s="57"/>
    </row>
    <row r="330">
      <c r="A330" s="57"/>
      <c r="B330" s="57"/>
      <c r="C330" s="57"/>
    </row>
    <row r="331">
      <c r="A331" s="57"/>
      <c r="B331" s="57"/>
      <c r="C331" s="57"/>
    </row>
    <row r="332">
      <c r="A332" s="57"/>
      <c r="B332" s="57"/>
      <c r="C332" s="57"/>
    </row>
    <row r="333">
      <c r="A333" s="57"/>
      <c r="B333" s="57"/>
      <c r="C333" s="57"/>
    </row>
    <row r="334">
      <c r="A334" s="57"/>
      <c r="B334" s="57"/>
      <c r="C334" s="57"/>
    </row>
    <row r="335">
      <c r="A335" s="57"/>
      <c r="B335" s="57"/>
      <c r="C335" s="57"/>
    </row>
    <row r="336">
      <c r="A336" s="57"/>
      <c r="B336" s="57"/>
      <c r="C336" s="57"/>
    </row>
    <row r="337">
      <c r="A337" s="57"/>
      <c r="B337" s="57"/>
      <c r="C337" s="57"/>
    </row>
    <row r="338">
      <c r="A338" s="57"/>
      <c r="B338" s="57"/>
      <c r="C338" s="57"/>
    </row>
    <row r="339">
      <c r="A339" s="57"/>
      <c r="B339" s="57"/>
      <c r="C339" s="57"/>
    </row>
    <row r="340">
      <c r="A340" s="57"/>
      <c r="B340" s="57"/>
      <c r="C340" s="57"/>
    </row>
    <row r="341">
      <c r="A341" s="57"/>
      <c r="B341" s="57"/>
      <c r="C341" s="57"/>
    </row>
    <row r="342">
      <c r="A342" s="57"/>
      <c r="B342" s="57"/>
      <c r="C342" s="57"/>
    </row>
    <row r="343">
      <c r="A343" s="57"/>
      <c r="B343" s="57"/>
      <c r="C343" s="57"/>
    </row>
    <row r="344">
      <c r="A344" s="57"/>
      <c r="B344" s="57"/>
      <c r="C344" s="57"/>
    </row>
    <row r="345">
      <c r="A345" s="57"/>
      <c r="B345" s="57"/>
      <c r="C345" s="57"/>
    </row>
    <row r="346">
      <c r="A346" s="57"/>
      <c r="B346" s="57"/>
      <c r="C346" s="57"/>
    </row>
    <row r="347">
      <c r="A347" s="57"/>
      <c r="B347" s="57"/>
      <c r="C347" s="57"/>
    </row>
    <row r="348">
      <c r="A348" s="57"/>
      <c r="B348" s="57"/>
      <c r="C348" s="57"/>
    </row>
    <row r="349">
      <c r="A349" s="57"/>
      <c r="B349" s="57"/>
      <c r="C349" s="57"/>
    </row>
    <row r="350">
      <c r="A350" s="57"/>
      <c r="B350" s="57"/>
      <c r="C350" s="57"/>
    </row>
    <row r="351">
      <c r="A351" s="57"/>
      <c r="B351" s="57"/>
      <c r="C351" s="57"/>
    </row>
    <row r="352">
      <c r="A352" s="57"/>
      <c r="B352" s="57"/>
      <c r="C352" s="57"/>
    </row>
    <row r="353">
      <c r="A353" s="57"/>
      <c r="B353" s="57"/>
      <c r="C353" s="57"/>
    </row>
    <row r="354">
      <c r="A354" s="57"/>
      <c r="B354" s="57"/>
      <c r="C354" s="57"/>
    </row>
    <row r="355">
      <c r="A355" s="57"/>
      <c r="B355" s="57"/>
      <c r="C355" s="57"/>
    </row>
    <row r="356">
      <c r="A356" s="57"/>
      <c r="B356" s="57"/>
      <c r="C356" s="57"/>
    </row>
    <row r="357">
      <c r="A357" s="57"/>
      <c r="B357" s="57"/>
      <c r="C357" s="57"/>
    </row>
    <row r="358">
      <c r="A358" s="57"/>
      <c r="B358" s="57"/>
      <c r="C358" s="57"/>
    </row>
    <row r="359">
      <c r="A359" s="57"/>
      <c r="B359" s="57"/>
      <c r="C359" s="57"/>
    </row>
    <row r="360">
      <c r="A360" s="57"/>
      <c r="B360" s="57"/>
      <c r="C360" s="57"/>
    </row>
    <row r="361">
      <c r="A361" s="57"/>
      <c r="B361" s="57"/>
      <c r="C361" s="57"/>
    </row>
    <row r="362">
      <c r="A362" s="57"/>
      <c r="B362" s="57"/>
      <c r="C362" s="57"/>
    </row>
    <row r="363">
      <c r="A363" s="57"/>
      <c r="B363" s="57"/>
      <c r="C363" s="57"/>
    </row>
    <row r="364">
      <c r="A364" s="57"/>
      <c r="B364" s="57"/>
      <c r="C364" s="57"/>
    </row>
    <row r="365">
      <c r="A365" s="57"/>
      <c r="B365" s="57"/>
      <c r="C365" s="57"/>
    </row>
    <row r="366">
      <c r="A366" s="57"/>
      <c r="B366" s="57"/>
      <c r="C366" s="57"/>
    </row>
    <row r="367">
      <c r="A367" s="57"/>
      <c r="B367" s="57"/>
      <c r="C367" s="57"/>
    </row>
    <row r="368">
      <c r="A368" s="57"/>
      <c r="B368" s="57"/>
      <c r="C368" s="57"/>
    </row>
    <row r="369">
      <c r="A369" s="57"/>
      <c r="B369" s="57"/>
      <c r="C369" s="57"/>
    </row>
    <row r="370">
      <c r="A370" s="57"/>
      <c r="B370" s="57"/>
      <c r="C370" s="57"/>
    </row>
    <row r="371">
      <c r="A371" s="57"/>
      <c r="B371" s="57"/>
      <c r="C371" s="57"/>
    </row>
    <row r="372">
      <c r="A372" s="57"/>
      <c r="B372" s="57"/>
      <c r="C372" s="57"/>
    </row>
    <row r="373">
      <c r="A373" s="57"/>
      <c r="B373" s="57"/>
      <c r="C373" s="57"/>
    </row>
    <row r="374">
      <c r="A374" s="57"/>
      <c r="B374" s="57"/>
      <c r="C374" s="57"/>
    </row>
    <row r="375">
      <c r="A375" s="57"/>
      <c r="B375" s="57"/>
      <c r="C375" s="57"/>
    </row>
    <row r="376">
      <c r="A376" s="57"/>
      <c r="B376" s="57"/>
      <c r="C376" s="57"/>
    </row>
    <row r="377">
      <c r="A377" s="57"/>
      <c r="B377" s="57"/>
      <c r="C377" s="57"/>
    </row>
    <row r="378">
      <c r="A378" s="57"/>
      <c r="B378" s="57"/>
      <c r="C378" s="57"/>
    </row>
    <row r="379">
      <c r="A379" s="57"/>
      <c r="B379" s="57"/>
      <c r="C379" s="57"/>
    </row>
    <row r="380">
      <c r="A380" s="57"/>
      <c r="B380" s="57"/>
      <c r="C380" s="57"/>
    </row>
    <row r="381">
      <c r="A381" s="57"/>
      <c r="B381" s="57"/>
      <c r="C381" s="57"/>
    </row>
    <row r="382">
      <c r="A382" s="57"/>
      <c r="B382" s="57"/>
      <c r="C382" s="57"/>
    </row>
    <row r="383">
      <c r="A383" s="57"/>
      <c r="B383" s="57"/>
      <c r="C383" s="57"/>
    </row>
    <row r="384">
      <c r="A384" s="57"/>
      <c r="B384" s="57"/>
      <c r="C384" s="57"/>
    </row>
    <row r="385">
      <c r="A385" s="57"/>
      <c r="B385" s="57"/>
      <c r="C385" s="57"/>
    </row>
    <row r="386">
      <c r="A386" s="57"/>
      <c r="B386" s="57"/>
      <c r="C386" s="57"/>
    </row>
    <row r="387">
      <c r="A387" s="57"/>
      <c r="B387" s="57"/>
      <c r="C387" s="57"/>
    </row>
    <row r="388">
      <c r="A388" s="57"/>
      <c r="B388" s="57"/>
      <c r="C388" s="57"/>
    </row>
    <row r="389">
      <c r="A389" s="57"/>
      <c r="B389" s="57"/>
      <c r="C389" s="57"/>
    </row>
    <row r="390">
      <c r="A390" s="57"/>
      <c r="B390" s="57"/>
      <c r="C390" s="57"/>
    </row>
    <row r="391">
      <c r="A391" s="57"/>
      <c r="B391" s="57"/>
      <c r="C391" s="57"/>
    </row>
    <row r="392">
      <c r="A392" s="57"/>
      <c r="B392" s="57"/>
      <c r="C392" s="57"/>
    </row>
    <row r="393">
      <c r="A393" s="57"/>
      <c r="B393" s="57"/>
      <c r="C393" s="57"/>
    </row>
    <row r="394">
      <c r="A394" s="57"/>
      <c r="B394" s="57"/>
      <c r="C394" s="57"/>
    </row>
    <row r="395">
      <c r="A395" s="57"/>
      <c r="B395" s="57"/>
      <c r="C395" s="57"/>
    </row>
    <row r="396">
      <c r="A396" s="57"/>
      <c r="B396" s="57"/>
      <c r="C396" s="57"/>
    </row>
    <row r="397">
      <c r="A397" s="57"/>
      <c r="B397" s="57"/>
      <c r="C397" s="57"/>
    </row>
    <row r="398">
      <c r="A398" s="57"/>
      <c r="B398" s="57"/>
      <c r="C398" s="57"/>
    </row>
    <row r="399">
      <c r="A399" s="57"/>
      <c r="B399" s="57"/>
      <c r="C399" s="57"/>
    </row>
    <row r="400">
      <c r="A400" s="57"/>
      <c r="B400" s="57"/>
      <c r="C400" s="57"/>
    </row>
    <row r="401">
      <c r="A401" s="57"/>
      <c r="B401" s="57"/>
      <c r="C401" s="57"/>
    </row>
    <row r="402">
      <c r="A402" s="57"/>
      <c r="B402" s="57"/>
      <c r="C402" s="57"/>
    </row>
    <row r="403">
      <c r="A403" s="57"/>
      <c r="B403" s="57"/>
      <c r="C403" s="57"/>
    </row>
    <row r="404">
      <c r="A404" s="57"/>
      <c r="B404" s="57"/>
      <c r="C404" s="57"/>
    </row>
    <row r="405">
      <c r="A405" s="57"/>
      <c r="B405" s="57"/>
      <c r="C405" s="57"/>
    </row>
    <row r="406">
      <c r="A406" s="57"/>
      <c r="B406" s="57"/>
      <c r="C406" s="57"/>
    </row>
    <row r="407">
      <c r="A407" s="57"/>
      <c r="B407" s="57"/>
      <c r="C407" s="57"/>
    </row>
    <row r="408">
      <c r="A408" s="57"/>
      <c r="B408" s="57"/>
      <c r="C408" s="57"/>
    </row>
    <row r="409">
      <c r="A409" s="57"/>
      <c r="B409" s="57"/>
      <c r="C409" s="57"/>
    </row>
    <row r="410">
      <c r="A410" s="57"/>
      <c r="B410" s="57"/>
      <c r="C410" s="57"/>
    </row>
    <row r="411">
      <c r="A411" s="57"/>
      <c r="B411" s="57"/>
      <c r="C411" s="57"/>
    </row>
    <row r="412">
      <c r="A412" s="57"/>
      <c r="B412" s="57"/>
      <c r="C412" s="57"/>
    </row>
    <row r="413">
      <c r="A413" s="57"/>
      <c r="B413" s="57"/>
      <c r="C413" s="57"/>
    </row>
    <row r="414">
      <c r="A414" s="57"/>
      <c r="B414" s="57"/>
      <c r="C414" s="57"/>
    </row>
    <row r="415">
      <c r="A415" s="57"/>
      <c r="B415" s="57"/>
      <c r="C415" s="57"/>
    </row>
    <row r="416">
      <c r="A416" s="57"/>
      <c r="B416" s="57"/>
      <c r="C416" s="57"/>
    </row>
    <row r="417">
      <c r="A417" s="57"/>
      <c r="B417" s="57"/>
      <c r="C417" s="57"/>
    </row>
    <row r="418">
      <c r="A418" s="57"/>
      <c r="B418" s="57"/>
      <c r="C418" s="57"/>
    </row>
    <row r="419">
      <c r="A419" s="57"/>
      <c r="B419" s="57"/>
      <c r="C419" s="57"/>
    </row>
    <row r="420">
      <c r="A420" s="57"/>
      <c r="B420" s="57"/>
      <c r="C420" s="57"/>
    </row>
    <row r="421">
      <c r="A421" s="57"/>
      <c r="B421" s="57"/>
      <c r="C421" s="57"/>
    </row>
    <row r="422">
      <c r="A422" s="57"/>
      <c r="B422" s="57"/>
      <c r="C422" s="57"/>
    </row>
    <row r="423">
      <c r="A423" s="57"/>
      <c r="B423" s="57"/>
      <c r="C423" s="57"/>
    </row>
    <row r="424">
      <c r="A424" s="57"/>
      <c r="B424" s="57"/>
      <c r="C424" s="57"/>
    </row>
    <row r="425">
      <c r="A425" s="57"/>
      <c r="B425" s="57"/>
      <c r="C425" s="57"/>
    </row>
    <row r="426">
      <c r="A426" s="57"/>
      <c r="B426" s="57"/>
      <c r="C426" s="57"/>
    </row>
    <row r="427">
      <c r="A427" s="57"/>
      <c r="B427" s="57"/>
      <c r="C427" s="57"/>
    </row>
    <row r="428">
      <c r="A428" s="57"/>
      <c r="B428" s="57"/>
      <c r="C428" s="57"/>
    </row>
    <row r="429">
      <c r="A429" s="57"/>
      <c r="B429" s="57"/>
      <c r="C429" s="57"/>
    </row>
    <row r="430">
      <c r="A430" s="57"/>
      <c r="B430" s="57"/>
      <c r="C430" s="57"/>
    </row>
    <row r="431">
      <c r="A431" s="57"/>
      <c r="B431" s="57"/>
      <c r="C431" s="57"/>
    </row>
    <row r="432">
      <c r="A432" s="57"/>
      <c r="B432" s="57"/>
      <c r="C432" s="57"/>
    </row>
    <row r="433">
      <c r="A433" s="57"/>
      <c r="B433" s="57"/>
      <c r="C433" s="57"/>
    </row>
    <row r="434">
      <c r="A434" s="57"/>
      <c r="B434" s="57"/>
      <c r="C434" s="57"/>
    </row>
    <row r="435">
      <c r="A435" s="57"/>
      <c r="B435" s="57"/>
      <c r="C435" s="57"/>
    </row>
    <row r="436">
      <c r="A436" s="57"/>
      <c r="B436" s="57"/>
      <c r="C436" s="57"/>
    </row>
    <row r="437">
      <c r="A437" s="57"/>
      <c r="B437" s="57"/>
      <c r="C437" s="57"/>
    </row>
    <row r="438">
      <c r="A438" s="57"/>
      <c r="B438" s="57"/>
      <c r="C438" s="57"/>
    </row>
    <row r="439">
      <c r="A439" s="57"/>
      <c r="B439" s="57"/>
      <c r="C439" s="57"/>
    </row>
    <row r="440">
      <c r="A440" s="57"/>
      <c r="B440" s="57"/>
      <c r="C440" s="57"/>
    </row>
    <row r="441">
      <c r="A441" s="57"/>
      <c r="B441" s="57"/>
      <c r="C441" s="57"/>
    </row>
    <row r="442">
      <c r="A442" s="57"/>
      <c r="B442" s="57"/>
      <c r="C442" s="57"/>
    </row>
    <row r="443">
      <c r="A443" s="57"/>
      <c r="B443" s="57"/>
      <c r="C443" s="57"/>
    </row>
    <row r="444">
      <c r="A444" s="57"/>
      <c r="B444" s="57"/>
      <c r="C444" s="57"/>
    </row>
    <row r="445">
      <c r="A445" s="57"/>
      <c r="B445" s="57"/>
      <c r="C445" s="57"/>
    </row>
    <row r="446">
      <c r="A446" s="57"/>
      <c r="B446" s="57"/>
      <c r="C446" s="57"/>
    </row>
    <row r="447">
      <c r="A447" s="57"/>
      <c r="B447" s="57"/>
      <c r="C447" s="57"/>
    </row>
    <row r="448">
      <c r="A448" s="57"/>
      <c r="B448" s="57"/>
      <c r="C448" s="57"/>
    </row>
    <row r="449">
      <c r="A449" s="57"/>
      <c r="B449" s="57"/>
      <c r="C449" s="57"/>
    </row>
    <row r="450">
      <c r="A450" s="57"/>
      <c r="B450" s="57"/>
      <c r="C450" s="57"/>
    </row>
    <row r="451">
      <c r="A451" s="57"/>
      <c r="B451" s="57"/>
      <c r="C451" s="57"/>
    </row>
    <row r="452">
      <c r="A452" s="57"/>
      <c r="B452" s="57"/>
      <c r="C452" s="57"/>
    </row>
    <row r="453">
      <c r="A453" s="57"/>
      <c r="B453" s="57"/>
      <c r="C453" s="57"/>
    </row>
    <row r="454">
      <c r="A454" s="57"/>
      <c r="B454" s="57"/>
      <c r="C454" s="57"/>
    </row>
    <row r="455">
      <c r="A455" s="57"/>
      <c r="B455" s="57"/>
      <c r="C455" s="57"/>
    </row>
    <row r="456">
      <c r="A456" s="57"/>
      <c r="B456" s="57"/>
      <c r="C456" s="57"/>
    </row>
    <row r="457">
      <c r="A457" s="57"/>
      <c r="B457" s="57"/>
      <c r="C457" s="57"/>
    </row>
    <row r="458">
      <c r="A458" s="57"/>
      <c r="B458" s="57"/>
      <c r="C458" s="57"/>
    </row>
    <row r="459">
      <c r="A459" s="57"/>
      <c r="B459" s="57"/>
      <c r="C459" s="57"/>
    </row>
    <row r="460">
      <c r="A460" s="57"/>
      <c r="B460" s="57"/>
      <c r="C460" s="57"/>
    </row>
    <row r="461">
      <c r="A461" s="57"/>
      <c r="B461" s="57"/>
      <c r="C461" s="57"/>
    </row>
    <row r="462">
      <c r="A462" s="57"/>
      <c r="B462" s="57"/>
      <c r="C462" s="57"/>
    </row>
    <row r="463">
      <c r="A463" s="57"/>
      <c r="B463" s="57"/>
      <c r="C463" s="57"/>
    </row>
    <row r="464">
      <c r="A464" s="57"/>
      <c r="B464" s="57"/>
      <c r="C464" s="57"/>
    </row>
    <row r="465">
      <c r="A465" s="57"/>
      <c r="B465" s="57"/>
      <c r="C465" s="57"/>
    </row>
    <row r="466">
      <c r="A466" s="57"/>
      <c r="B466" s="57"/>
      <c r="C466" s="57"/>
    </row>
    <row r="467">
      <c r="A467" s="57"/>
      <c r="B467" s="57"/>
      <c r="C467" s="57"/>
    </row>
    <row r="468">
      <c r="A468" s="57"/>
      <c r="B468" s="57"/>
      <c r="C468" s="57"/>
    </row>
    <row r="469">
      <c r="A469" s="57"/>
      <c r="B469" s="57"/>
      <c r="C469" s="57"/>
    </row>
    <row r="470">
      <c r="A470" s="57"/>
      <c r="B470" s="57"/>
      <c r="C470" s="57"/>
    </row>
    <row r="471">
      <c r="A471" s="57"/>
      <c r="B471" s="57"/>
      <c r="C471" s="57"/>
    </row>
    <row r="472">
      <c r="A472" s="57"/>
      <c r="B472" s="57"/>
      <c r="C472" s="57"/>
    </row>
    <row r="473">
      <c r="A473" s="57"/>
      <c r="B473" s="57"/>
      <c r="C473" s="57"/>
    </row>
    <row r="474">
      <c r="A474" s="57"/>
      <c r="B474" s="57"/>
      <c r="C474" s="57"/>
    </row>
    <row r="475">
      <c r="A475" s="57"/>
      <c r="B475" s="57"/>
      <c r="C475" s="57"/>
    </row>
    <row r="476">
      <c r="A476" s="57"/>
      <c r="B476" s="57"/>
      <c r="C476" s="57"/>
    </row>
    <row r="477">
      <c r="A477" s="57"/>
      <c r="B477" s="57"/>
      <c r="C477" s="57"/>
    </row>
    <row r="478">
      <c r="A478" s="57"/>
      <c r="B478" s="57"/>
      <c r="C478" s="57"/>
    </row>
    <row r="479">
      <c r="A479" s="57"/>
      <c r="B479" s="57"/>
      <c r="C479" s="57"/>
    </row>
    <row r="480">
      <c r="A480" s="57"/>
      <c r="B480" s="57"/>
      <c r="C480" s="57"/>
    </row>
    <row r="481">
      <c r="A481" s="57"/>
      <c r="B481" s="57"/>
      <c r="C481" s="57"/>
    </row>
    <row r="482">
      <c r="A482" s="57"/>
      <c r="B482" s="57"/>
      <c r="C482" s="57"/>
    </row>
    <row r="483">
      <c r="A483" s="57"/>
      <c r="B483" s="57"/>
      <c r="C483" s="57"/>
    </row>
    <row r="484">
      <c r="A484" s="57"/>
      <c r="B484" s="57"/>
      <c r="C484" s="57"/>
    </row>
    <row r="485">
      <c r="A485" s="57"/>
      <c r="B485" s="57"/>
      <c r="C485" s="57"/>
    </row>
    <row r="486">
      <c r="A486" s="57"/>
      <c r="B486" s="57"/>
      <c r="C486" s="57"/>
    </row>
    <row r="487">
      <c r="A487" s="57"/>
      <c r="B487" s="57"/>
      <c r="C487" s="57"/>
    </row>
    <row r="488">
      <c r="A488" s="57"/>
      <c r="B488" s="57"/>
      <c r="C488" s="57"/>
    </row>
    <row r="489">
      <c r="A489" s="57"/>
      <c r="B489" s="57"/>
      <c r="C489" s="57"/>
    </row>
    <row r="490">
      <c r="A490" s="57"/>
      <c r="B490" s="57"/>
      <c r="C490" s="57"/>
    </row>
    <row r="491">
      <c r="A491" s="57"/>
      <c r="B491" s="57"/>
      <c r="C491" s="57"/>
    </row>
    <row r="492">
      <c r="A492" s="57"/>
      <c r="B492" s="57"/>
      <c r="C492" s="57"/>
    </row>
    <row r="493">
      <c r="A493" s="57"/>
      <c r="B493" s="57"/>
      <c r="C493" s="57"/>
    </row>
    <row r="494">
      <c r="A494" s="57"/>
      <c r="B494" s="57"/>
      <c r="C494" s="57"/>
    </row>
    <row r="495">
      <c r="A495" s="57"/>
      <c r="B495" s="57"/>
      <c r="C495" s="57"/>
    </row>
    <row r="496">
      <c r="A496" s="57"/>
      <c r="B496" s="57"/>
      <c r="C496" s="57"/>
    </row>
    <row r="497">
      <c r="A497" s="57"/>
      <c r="B497" s="57"/>
      <c r="C497" s="57"/>
    </row>
    <row r="498">
      <c r="A498" s="57"/>
      <c r="B498" s="57"/>
      <c r="C498" s="57"/>
    </row>
    <row r="499">
      <c r="A499" s="57"/>
      <c r="B499" s="57"/>
      <c r="C499" s="57"/>
    </row>
    <row r="500">
      <c r="A500" s="57"/>
      <c r="B500" s="57"/>
      <c r="C500" s="57"/>
    </row>
    <row r="501">
      <c r="A501" s="57"/>
      <c r="B501" s="57"/>
      <c r="C501" s="57"/>
    </row>
    <row r="502">
      <c r="A502" s="57"/>
      <c r="B502" s="57"/>
      <c r="C502" s="57"/>
    </row>
    <row r="503">
      <c r="A503" s="57"/>
      <c r="B503" s="57"/>
      <c r="C503" s="57"/>
    </row>
    <row r="504">
      <c r="A504" s="57"/>
      <c r="B504" s="57"/>
      <c r="C504" s="57"/>
    </row>
    <row r="505">
      <c r="A505" s="57"/>
      <c r="B505" s="57"/>
      <c r="C505" s="57"/>
    </row>
    <row r="506">
      <c r="A506" s="57"/>
      <c r="B506" s="57"/>
      <c r="C506" s="57"/>
    </row>
    <row r="507">
      <c r="A507" s="57"/>
      <c r="B507" s="57"/>
      <c r="C507" s="57"/>
    </row>
    <row r="508">
      <c r="A508" s="57"/>
      <c r="B508" s="57"/>
      <c r="C508" s="57"/>
    </row>
    <row r="509">
      <c r="A509" s="57"/>
      <c r="B509" s="57"/>
      <c r="C509" s="57"/>
    </row>
    <row r="510">
      <c r="A510" s="57"/>
      <c r="B510" s="57"/>
      <c r="C510" s="57"/>
    </row>
    <row r="511">
      <c r="A511" s="57"/>
      <c r="B511" s="57"/>
      <c r="C511" s="57"/>
    </row>
    <row r="512">
      <c r="A512" s="57"/>
      <c r="B512" s="57"/>
      <c r="C512" s="57"/>
    </row>
    <row r="513">
      <c r="A513" s="57"/>
      <c r="B513" s="57"/>
      <c r="C513" s="57"/>
    </row>
    <row r="514">
      <c r="A514" s="57"/>
      <c r="B514" s="57"/>
      <c r="C514" s="57"/>
    </row>
    <row r="515">
      <c r="A515" s="57"/>
      <c r="B515" s="57"/>
      <c r="C515" s="57"/>
    </row>
    <row r="516">
      <c r="A516" s="57"/>
      <c r="B516" s="57"/>
      <c r="C516" s="57"/>
    </row>
    <row r="517">
      <c r="A517" s="57"/>
      <c r="B517" s="57"/>
      <c r="C517" s="57"/>
    </row>
    <row r="518">
      <c r="A518" s="57"/>
      <c r="B518" s="57"/>
      <c r="C518" s="57"/>
    </row>
    <row r="519">
      <c r="A519" s="57"/>
      <c r="B519" s="57"/>
      <c r="C519" s="57"/>
    </row>
    <row r="520">
      <c r="A520" s="57"/>
      <c r="B520" s="57"/>
      <c r="C520" s="57"/>
    </row>
    <row r="521">
      <c r="A521" s="57"/>
      <c r="B521" s="57"/>
      <c r="C521" s="57"/>
    </row>
    <row r="522">
      <c r="A522" s="57"/>
      <c r="B522" s="57"/>
      <c r="C522" s="57"/>
    </row>
    <row r="523">
      <c r="A523" s="57"/>
      <c r="B523" s="57"/>
      <c r="C523" s="57"/>
    </row>
    <row r="524">
      <c r="A524" s="57"/>
      <c r="B524" s="57"/>
      <c r="C524" s="57"/>
    </row>
    <row r="525">
      <c r="A525" s="57"/>
      <c r="B525" s="57"/>
      <c r="C525" s="57"/>
    </row>
    <row r="526">
      <c r="A526" s="57"/>
      <c r="B526" s="57"/>
      <c r="C526" s="57"/>
    </row>
    <row r="527">
      <c r="A527" s="57"/>
      <c r="B527" s="57"/>
      <c r="C527" s="57"/>
    </row>
    <row r="528">
      <c r="A528" s="57"/>
      <c r="B528" s="57"/>
      <c r="C528" s="57"/>
    </row>
    <row r="529">
      <c r="A529" s="57"/>
      <c r="B529" s="57"/>
      <c r="C529" s="57"/>
    </row>
    <row r="530">
      <c r="A530" s="57"/>
      <c r="B530" s="57"/>
      <c r="C530" s="57"/>
    </row>
    <row r="531">
      <c r="A531" s="57"/>
      <c r="B531" s="57"/>
      <c r="C531" s="57"/>
    </row>
    <row r="532">
      <c r="A532" s="57"/>
      <c r="B532" s="57"/>
      <c r="C532" s="57"/>
    </row>
    <row r="533">
      <c r="A533" s="57"/>
      <c r="B533" s="57"/>
      <c r="C533" s="57"/>
    </row>
    <row r="534">
      <c r="A534" s="57"/>
      <c r="B534" s="57"/>
      <c r="C534" s="57"/>
    </row>
    <row r="535">
      <c r="A535" s="57"/>
      <c r="B535" s="57"/>
      <c r="C535" s="57"/>
    </row>
    <row r="536">
      <c r="A536" s="57"/>
      <c r="B536" s="57"/>
      <c r="C536" s="57"/>
    </row>
    <row r="537">
      <c r="A537" s="57"/>
      <c r="B537" s="57"/>
      <c r="C537" s="57"/>
    </row>
    <row r="538">
      <c r="A538" s="57"/>
      <c r="B538" s="57"/>
      <c r="C538" s="57"/>
    </row>
    <row r="539">
      <c r="A539" s="57"/>
      <c r="B539" s="57"/>
      <c r="C539" s="57"/>
    </row>
    <row r="540">
      <c r="A540" s="57"/>
      <c r="B540" s="57"/>
      <c r="C540" s="57"/>
    </row>
    <row r="541">
      <c r="A541" s="57"/>
      <c r="B541" s="57"/>
      <c r="C541" s="57"/>
    </row>
    <row r="542">
      <c r="A542" s="57"/>
      <c r="B542" s="57"/>
      <c r="C542" s="57"/>
    </row>
    <row r="543">
      <c r="A543" s="57"/>
      <c r="B543" s="57"/>
      <c r="C543" s="57"/>
    </row>
    <row r="544">
      <c r="A544" s="57"/>
      <c r="B544" s="57"/>
      <c r="C544" s="57"/>
    </row>
    <row r="545">
      <c r="A545" s="57"/>
      <c r="B545" s="57"/>
      <c r="C545" s="57"/>
    </row>
    <row r="546">
      <c r="A546" s="57"/>
      <c r="B546" s="57"/>
      <c r="C546" s="57"/>
    </row>
    <row r="547">
      <c r="A547" s="57"/>
      <c r="B547" s="57"/>
      <c r="C547" s="57"/>
    </row>
    <row r="548">
      <c r="A548" s="57"/>
      <c r="B548" s="57"/>
      <c r="C548" s="57"/>
    </row>
    <row r="549">
      <c r="A549" s="57"/>
      <c r="B549" s="57"/>
      <c r="C549" s="57"/>
    </row>
    <row r="550">
      <c r="A550" s="57"/>
      <c r="B550" s="57"/>
      <c r="C550" s="57"/>
    </row>
    <row r="551">
      <c r="A551" s="57"/>
      <c r="B551" s="57"/>
      <c r="C551" s="57"/>
    </row>
    <row r="552">
      <c r="A552" s="57"/>
      <c r="B552" s="57"/>
      <c r="C552" s="57"/>
    </row>
    <row r="553">
      <c r="A553" s="57"/>
      <c r="B553" s="57"/>
      <c r="C553" s="57"/>
    </row>
    <row r="554">
      <c r="A554" s="57"/>
      <c r="B554" s="57"/>
      <c r="C554" s="57"/>
    </row>
    <row r="555">
      <c r="A555" s="57"/>
      <c r="B555" s="57"/>
      <c r="C555" s="57"/>
    </row>
    <row r="556">
      <c r="A556" s="57"/>
      <c r="B556" s="57"/>
      <c r="C556" s="57"/>
    </row>
    <row r="557">
      <c r="A557" s="57"/>
      <c r="B557" s="57"/>
      <c r="C557" s="57"/>
    </row>
    <row r="558">
      <c r="A558" s="57"/>
      <c r="B558" s="57"/>
      <c r="C558" s="57"/>
    </row>
    <row r="559">
      <c r="A559" s="57"/>
      <c r="B559" s="57"/>
      <c r="C559" s="57"/>
    </row>
    <row r="560">
      <c r="A560" s="57"/>
      <c r="B560" s="57"/>
      <c r="C560" s="57"/>
    </row>
    <row r="561">
      <c r="A561" s="57"/>
      <c r="B561" s="57"/>
      <c r="C561" s="57"/>
    </row>
    <row r="562">
      <c r="A562" s="57"/>
      <c r="B562" s="57"/>
      <c r="C562" s="57"/>
    </row>
    <row r="563">
      <c r="A563" s="57"/>
      <c r="B563" s="57"/>
      <c r="C563" s="57"/>
    </row>
    <row r="564">
      <c r="A564" s="57"/>
      <c r="B564" s="57"/>
      <c r="C564" s="57"/>
    </row>
    <row r="565">
      <c r="A565" s="57"/>
      <c r="B565" s="57"/>
      <c r="C565" s="57"/>
    </row>
    <row r="566">
      <c r="A566" s="57"/>
      <c r="B566" s="57"/>
      <c r="C566" s="57"/>
    </row>
    <row r="567">
      <c r="A567" s="57"/>
      <c r="B567" s="57"/>
      <c r="C567" s="57"/>
    </row>
    <row r="568">
      <c r="A568" s="57"/>
      <c r="B568" s="57"/>
      <c r="C568" s="57"/>
    </row>
    <row r="569">
      <c r="A569" s="57"/>
      <c r="B569" s="57"/>
      <c r="C569" s="57"/>
    </row>
    <row r="570">
      <c r="A570" s="57"/>
      <c r="B570" s="57"/>
      <c r="C570" s="57"/>
    </row>
    <row r="571">
      <c r="A571" s="57"/>
      <c r="B571" s="57"/>
      <c r="C571" s="57"/>
    </row>
    <row r="572">
      <c r="A572" s="57"/>
      <c r="B572" s="57"/>
      <c r="C572" s="57"/>
    </row>
    <row r="573">
      <c r="A573" s="57"/>
      <c r="B573" s="57"/>
      <c r="C573" s="57"/>
    </row>
    <row r="574">
      <c r="A574" s="57"/>
      <c r="B574" s="57"/>
      <c r="C574" s="57"/>
    </row>
    <row r="575">
      <c r="A575" s="57"/>
      <c r="B575" s="57"/>
      <c r="C575" s="57"/>
    </row>
    <row r="576">
      <c r="A576" s="57"/>
      <c r="B576" s="57"/>
      <c r="C576" s="57"/>
    </row>
    <row r="577">
      <c r="A577" s="57"/>
      <c r="B577" s="57"/>
      <c r="C577" s="57"/>
    </row>
    <row r="578">
      <c r="A578" s="57"/>
      <c r="B578" s="57"/>
      <c r="C578" s="57"/>
    </row>
    <row r="579">
      <c r="A579" s="57"/>
      <c r="B579" s="57"/>
      <c r="C579" s="57"/>
    </row>
    <row r="580">
      <c r="A580" s="57"/>
      <c r="B580" s="57"/>
      <c r="C580" s="57"/>
    </row>
    <row r="581">
      <c r="A581" s="57"/>
      <c r="B581" s="57"/>
      <c r="C581" s="57"/>
    </row>
    <row r="582">
      <c r="A582" s="57"/>
      <c r="B582" s="57"/>
      <c r="C582" s="57"/>
    </row>
    <row r="583">
      <c r="A583" s="57"/>
      <c r="B583" s="57"/>
      <c r="C583" s="57"/>
    </row>
    <row r="584">
      <c r="A584" s="57"/>
      <c r="B584" s="57"/>
      <c r="C584" s="57"/>
    </row>
    <row r="585">
      <c r="A585" s="57"/>
      <c r="B585" s="57"/>
      <c r="C585" s="57"/>
    </row>
    <row r="586">
      <c r="A586" s="57"/>
      <c r="B586" s="57"/>
      <c r="C586" s="57"/>
    </row>
    <row r="587">
      <c r="A587" s="57"/>
      <c r="B587" s="57"/>
      <c r="C587" s="57"/>
    </row>
    <row r="588">
      <c r="A588" s="57"/>
      <c r="B588" s="57"/>
      <c r="C588" s="57"/>
    </row>
    <row r="589">
      <c r="A589" s="57"/>
      <c r="B589" s="57"/>
      <c r="C589" s="57"/>
    </row>
    <row r="590">
      <c r="A590" s="57"/>
      <c r="B590" s="57"/>
      <c r="C590" s="57"/>
    </row>
    <row r="591">
      <c r="A591" s="57"/>
      <c r="B591" s="57"/>
      <c r="C591" s="57"/>
    </row>
    <row r="592">
      <c r="A592" s="57"/>
      <c r="B592" s="57"/>
      <c r="C592" s="57"/>
    </row>
    <row r="593">
      <c r="A593" s="57"/>
      <c r="B593" s="57"/>
      <c r="C593" s="57"/>
    </row>
    <row r="594">
      <c r="A594" s="57"/>
      <c r="B594" s="57"/>
      <c r="C594" s="57"/>
    </row>
    <row r="595">
      <c r="A595" s="57"/>
      <c r="B595" s="57"/>
      <c r="C595" s="57"/>
    </row>
    <row r="596">
      <c r="A596" s="57"/>
      <c r="B596" s="57"/>
      <c r="C596" s="57"/>
    </row>
    <row r="597">
      <c r="A597" s="57"/>
      <c r="B597" s="57"/>
      <c r="C597" s="57"/>
    </row>
    <row r="598">
      <c r="A598" s="57"/>
      <c r="B598" s="57"/>
      <c r="C598" s="57"/>
    </row>
    <row r="599">
      <c r="A599" s="57"/>
      <c r="B599" s="57"/>
      <c r="C599" s="57"/>
    </row>
    <row r="600">
      <c r="A600" s="57"/>
      <c r="B600" s="57"/>
      <c r="C600" s="57"/>
    </row>
    <row r="601">
      <c r="A601" s="57"/>
      <c r="B601" s="57"/>
      <c r="C601" s="57"/>
    </row>
    <row r="602">
      <c r="A602" s="57"/>
      <c r="B602" s="57"/>
      <c r="C602" s="57"/>
    </row>
    <row r="603">
      <c r="A603" s="57"/>
      <c r="B603" s="57"/>
      <c r="C603" s="57"/>
    </row>
    <row r="604">
      <c r="A604" s="57"/>
      <c r="B604" s="57"/>
      <c r="C604" s="57"/>
    </row>
    <row r="605">
      <c r="A605" s="57"/>
      <c r="B605" s="57"/>
      <c r="C605" s="57"/>
    </row>
    <row r="606">
      <c r="A606" s="57"/>
      <c r="B606" s="57"/>
      <c r="C606" s="57"/>
    </row>
    <row r="607">
      <c r="A607" s="57"/>
      <c r="B607" s="57"/>
      <c r="C607" s="57"/>
    </row>
    <row r="608">
      <c r="A608" s="57"/>
      <c r="B608" s="57"/>
      <c r="C608" s="57"/>
    </row>
    <row r="609">
      <c r="A609" s="57"/>
      <c r="B609" s="57"/>
      <c r="C609" s="57"/>
    </row>
    <row r="610">
      <c r="A610" s="57"/>
      <c r="B610" s="57"/>
      <c r="C610" s="57"/>
    </row>
    <row r="611">
      <c r="A611" s="57"/>
      <c r="B611" s="57"/>
      <c r="C611" s="57"/>
    </row>
    <row r="612">
      <c r="A612" s="57"/>
      <c r="B612" s="57"/>
      <c r="C612" s="57"/>
    </row>
    <row r="613">
      <c r="A613" s="57"/>
      <c r="B613" s="57"/>
      <c r="C613" s="57"/>
    </row>
    <row r="614">
      <c r="A614" s="57"/>
      <c r="B614" s="57"/>
      <c r="C614" s="57"/>
    </row>
    <row r="615">
      <c r="A615" s="57"/>
      <c r="B615" s="57"/>
      <c r="C615" s="57"/>
    </row>
    <row r="616">
      <c r="A616" s="57"/>
      <c r="B616" s="57"/>
      <c r="C616" s="57"/>
    </row>
    <row r="617">
      <c r="A617" s="57"/>
      <c r="B617" s="57"/>
      <c r="C617" s="57"/>
    </row>
    <row r="618">
      <c r="A618" s="57"/>
      <c r="B618" s="57"/>
      <c r="C618" s="57"/>
    </row>
    <row r="619">
      <c r="A619" s="57"/>
      <c r="B619" s="57"/>
      <c r="C619" s="57"/>
    </row>
    <row r="620">
      <c r="A620" s="57"/>
      <c r="B620" s="57"/>
      <c r="C620" s="57"/>
    </row>
    <row r="621">
      <c r="A621" s="57"/>
      <c r="B621" s="57"/>
      <c r="C621" s="57"/>
    </row>
    <row r="622">
      <c r="A622" s="57"/>
      <c r="B622" s="57"/>
      <c r="C622" s="57"/>
    </row>
    <row r="623">
      <c r="A623" s="57"/>
      <c r="B623" s="57"/>
      <c r="C623" s="57"/>
    </row>
    <row r="624">
      <c r="A624" s="57"/>
      <c r="B624" s="57"/>
      <c r="C624" s="57"/>
    </row>
    <row r="625">
      <c r="A625" s="57"/>
      <c r="B625" s="57"/>
      <c r="C625" s="57"/>
    </row>
    <row r="626">
      <c r="A626" s="57"/>
      <c r="B626" s="57"/>
      <c r="C626" s="57"/>
    </row>
    <row r="627">
      <c r="A627" s="57"/>
      <c r="B627" s="57"/>
      <c r="C627" s="57"/>
    </row>
    <row r="628">
      <c r="A628" s="57"/>
      <c r="B628" s="57"/>
      <c r="C628" s="57"/>
    </row>
    <row r="629">
      <c r="A629" s="57"/>
      <c r="B629" s="57"/>
      <c r="C629" s="57"/>
    </row>
    <row r="630">
      <c r="A630" s="57"/>
      <c r="B630" s="57"/>
      <c r="C630" s="57"/>
    </row>
    <row r="631">
      <c r="A631" s="57"/>
      <c r="B631" s="57"/>
      <c r="C631" s="57"/>
    </row>
    <row r="632">
      <c r="A632" s="57"/>
      <c r="B632" s="57"/>
      <c r="C632" s="57"/>
    </row>
    <row r="633">
      <c r="A633" s="57"/>
      <c r="B633" s="57"/>
      <c r="C633" s="57"/>
    </row>
    <row r="634">
      <c r="A634" s="57"/>
      <c r="B634" s="57"/>
      <c r="C634" s="57"/>
    </row>
    <row r="635">
      <c r="A635" s="57"/>
      <c r="B635" s="57"/>
      <c r="C635" s="57"/>
    </row>
    <row r="636">
      <c r="A636" s="57"/>
      <c r="B636" s="57"/>
      <c r="C636" s="57"/>
    </row>
    <row r="637">
      <c r="A637" s="57"/>
      <c r="B637" s="57"/>
      <c r="C637" s="57"/>
    </row>
    <row r="638">
      <c r="A638" s="57"/>
      <c r="B638" s="57"/>
      <c r="C638" s="57"/>
    </row>
    <row r="639">
      <c r="A639" s="57"/>
      <c r="B639" s="57"/>
      <c r="C639" s="57"/>
    </row>
    <row r="640">
      <c r="A640" s="57"/>
      <c r="B640" s="57"/>
      <c r="C640" s="57"/>
    </row>
    <row r="641">
      <c r="A641" s="57"/>
      <c r="B641" s="57"/>
      <c r="C641" s="57"/>
    </row>
    <row r="642">
      <c r="A642" s="57"/>
      <c r="B642" s="57"/>
      <c r="C642" s="57"/>
    </row>
    <row r="643">
      <c r="A643" s="57"/>
      <c r="B643" s="57"/>
      <c r="C643" s="57"/>
    </row>
    <row r="644">
      <c r="A644" s="57"/>
      <c r="B644" s="57"/>
      <c r="C644" s="57"/>
    </row>
    <row r="645">
      <c r="A645" s="57"/>
      <c r="B645" s="57"/>
      <c r="C645" s="57"/>
    </row>
    <row r="646">
      <c r="A646" s="57"/>
      <c r="B646" s="57"/>
      <c r="C646" s="57"/>
    </row>
    <row r="647">
      <c r="A647" s="57"/>
      <c r="B647" s="57"/>
      <c r="C647" s="57"/>
    </row>
    <row r="648">
      <c r="A648" s="57"/>
      <c r="B648" s="57"/>
      <c r="C648" s="57"/>
    </row>
    <row r="649">
      <c r="A649" s="57"/>
      <c r="B649" s="57"/>
      <c r="C649" s="57"/>
    </row>
    <row r="650">
      <c r="A650" s="57"/>
      <c r="B650" s="57"/>
      <c r="C650" s="57"/>
    </row>
    <row r="651">
      <c r="A651" s="57"/>
      <c r="B651" s="57"/>
      <c r="C651" s="57"/>
    </row>
    <row r="652">
      <c r="A652" s="57"/>
      <c r="B652" s="57"/>
      <c r="C652" s="57"/>
    </row>
    <row r="653">
      <c r="A653" s="57"/>
      <c r="B653" s="57"/>
      <c r="C653" s="57"/>
    </row>
    <row r="654">
      <c r="A654" s="57"/>
      <c r="B654" s="57"/>
      <c r="C654" s="57"/>
    </row>
    <row r="655">
      <c r="A655" s="57"/>
      <c r="B655" s="57"/>
      <c r="C655" s="57"/>
    </row>
    <row r="656">
      <c r="A656" s="57"/>
      <c r="B656" s="57"/>
      <c r="C656" s="57"/>
    </row>
    <row r="657">
      <c r="A657" s="57"/>
      <c r="B657" s="57"/>
      <c r="C657" s="57"/>
    </row>
    <row r="658">
      <c r="A658" s="57"/>
      <c r="B658" s="57"/>
      <c r="C658" s="57"/>
    </row>
    <row r="659">
      <c r="A659" s="57"/>
      <c r="B659" s="57"/>
      <c r="C659" s="57"/>
    </row>
    <row r="660">
      <c r="A660" s="57"/>
      <c r="B660" s="57"/>
      <c r="C660" s="57"/>
    </row>
    <row r="661">
      <c r="A661" s="57"/>
      <c r="B661" s="57"/>
      <c r="C661" s="57"/>
    </row>
    <row r="662">
      <c r="A662" s="57"/>
      <c r="B662" s="57"/>
      <c r="C662" s="57"/>
    </row>
    <row r="663">
      <c r="A663" s="57"/>
      <c r="B663" s="57"/>
      <c r="C663" s="57"/>
    </row>
    <row r="664">
      <c r="A664" s="57"/>
      <c r="B664" s="57"/>
      <c r="C664" s="57"/>
    </row>
    <row r="665">
      <c r="A665" s="57"/>
      <c r="B665" s="57"/>
      <c r="C665" s="57"/>
    </row>
    <row r="666">
      <c r="A666" s="57"/>
      <c r="B666" s="57"/>
      <c r="C666" s="57"/>
    </row>
    <row r="667">
      <c r="A667" s="57"/>
      <c r="B667" s="57"/>
      <c r="C667" s="57"/>
    </row>
    <row r="668">
      <c r="A668" s="57"/>
      <c r="B668" s="57"/>
      <c r="C668" s="57"/>
    </row>
    <row r="669">
      <c r="A669" s="57"/>
      <c r="B669" s="57"/>
      <c r="C669" s="57"/>
    </row>
    <row r="670">
      <c r="A670" s="57"/>
      <c r="B670" s="57"/>
      <c r="C670" s="57"/>
    </row>
    <row r="671">
      <c r="A671" s="57"/>
      <c r="B671" s="57"/>
      <c r="C671" s="57"/>
    </row>
    <row r="672">
      <c r="A672" s="57"/>
      <c r="B672" s="57"/>
      <c r="C672" s="57"/>
    </row>
    <row r="673">
      <c r="A673" s="57"/>
      <c r="B673" s="57"/>
      <c r="C673" s="57"/>
    </row>
    <row r="674">
      <c r="A674" s="57"/>
      <c r="B674" s="57"/>
      <c r="C674" s="57"/>
    </row>
    <row r="675">
      <c r="A675" s="57"/>
      <c r="B675" s="57"/>
      <c r="C675" s="57"/>
    </row>
    <row r="676">
      <c r="A676" s="57"/>
      <c r="B676" s="57"/>
      <c r="C676" s="57"/>
    </row>
    <row r="677">
      <c r="A677" s="57"/>
      <c r="B677" s="57"/>
      <c r="C677" s="57"/>
    </row>
    <row r="678">
      <c r="A678" s="57"/>
      <c r="B678" s="57"/>
      <c r="C678" s="57"/>
    </row>
    <row r="679">
      <c r="A679" s="57"/>
      <c r="B679" s="57"/>
      <c r="C679" s="57"/>
    </row>
    <row r="680">
      <c r="A680" s="57"/>
      <c r="B680" s="57"/>
      <c r="C680" s="57"/>
    </row>
    <row r="681">
      <c r="A681" s="57"/>
      <c r="B681" s="57"/>
      <c r="C681" s="57"/>
    </row>
    <row r="682">
      <c r="A682" s="57"/>
      <c r="B682" s="57"/>
      <c r="C682" s="57"/>
    </row>
    <row r="683">
      <c r="A683" s="57"/>
      <c r="B683" s="57"/>
      <c r="C683" s="57"/>
    </row>
    <row r="684">
      <c r="A684" s="57"/>
      <c r="B684" s="57"/>
      <c r="C684" s="57"/>
    </row>
    <row r="685">
      <c r="A685" s="57"/>
      <c r="B685" s="57"/>
      <c r="C685" s="57"/>
    </row>
    <row r="686">
      <c r="A686" s="57"/>
      <c r="B686" s="57"/>
      <c r="C686" s="57"/>
    </row>
    <row r="687">
      <c r="A687" s="57"/>
      <c r="B687" s="57"/>
      <c r="C687" s="57"/>
    </row>
    <row r="688">
      <c r="A688" s="57"/>
      <c r="B688" s="57"/>
      <c r="C688" s="57"/>
    </row>
    <row r="689">
      <c r="A689" s="57"/>
      <c r="B689" s="57"/>
      <c r="C689" s="57"/>
    </row>
    <row r="690">
      <c r="A690" s="57"/>
      <c r="B690" s="57"/>
      <c r="C690" s="57"/>
    </row>
    <row r="691">
      <c r="A691" s="57"/>
      <c r="B691" s="57"/>
      <c r="C691" s="57"/>
    </row>
    <row r="692">
      <c r="A692" s="57"/>
      <c r="B692" s="57"/>
      <c r="C692" s="57"/>
    </row>
    <row r="693">
      <c r="A693" s="57"/>
      <c r="B693" s="57"/>
      <c r="C693" s="57"/>
    </row>
    <row r="694">
      <c r="A694" s="57"/>
      <c r="B694" s="57"/>
      <c r="C694" s="57"/>
    </row>
    <row r="695">
      <c r="A695" s="57"/>
      <c r="B695" s="57"/>
      <c r="C695" s="57"/>
    </row>
    <row r="696">
      <c r="A696" s="57"/>
      <c r="B696" s="57"/>
      <c r="C696" s="57"/>
    </row>
    <row r="697">
      <c r="A697" s="57"/>
      <c r="B697" s="57"/>
      <c r="C697" s="57"/>
    </row>
    <row r="698">
      <c r="A698" s="57"/>
      <c r="B698" s="57"/>
      <c r="C698" s="57"/>
    </row>
    <row r="699">
      <c r="A699" s="57"/>
      <c r="B699" s="57"/>
      <c r="C699" s="57"/>
    </row>
    <row r="700">
      <c r="A700" s="57"/>
      <c r="B700" s="57"/>
      <c r="C700" s="57"/>
    </row>
    <row r="701">
      <c r="A701" s="57"/>
      <c r="B701" s="57"/>
      <c r="C701" s="57"/>
    </row>
    <row r="702">
      <c r="A702" s="57"/>
      <c r="B702" s="57"/>
      <c r="C702" s="57"/>
    </row>
    <row r="703">
      <c r="A703" s="57"/>
      <c r="B703" s="57"/>
      <c r="C703" s="57"/>
    </row>
    <row r="704">
      <c r="A704" s="57"/>
      <c r="B704" s="57"/>
      <c r="C704" s="57"/>
    </row>
    <row r="705">
      <c r="A705" s="57"/>
      <c r="B705" s="57"/>
      <c r="C705" s="57"/>
    </row>
    <row r="706">
      <c r="A706" s="57"/>
      <c r="B706" s="57"/>
      <c r="C706" s="57"/>
    </row>
    <row r="707">
      <c r="A707" s="57"/>
      <c r="B707" s="57"/>
      <c r="C707" s="57"/>
    </row>
    <row r="708">
      <c r="A708" s="57"/>
      <c r="B708" s="57"/>
      <c r="C708" s="57"/>
    </row>
    <row r="709">
      <c r="A709" s="57"/>
      <c r="B709" s="57"/>
      <c r="C709" s="57"/>
    </row>
    <row r="710">
      <c r="A710" s="57"/>
      <c r="B710" s="57"/>
      <c r="C710" s="57"/>
    </row>
    <row r="711">
      <c r="A711" s="57"/>
      <c r="B711" s="57"/>
      <c r="C711" s="57"/>
    </row>
    <row r="712">
      <c r="A712" s="57"/>
      <c r="B712" s="57"/>
      <c r="C712" s="57"/>
    </row>
    <row r="713">
      <c r="A713" s="57"/>
      <c r="B713" s="57"/>
      <c r="C713" s="57"/>
    </row>
    <row r="714">
      <c r="A714" s="57"/>
      <c r="B714" s="57"/>
      <c r="C714" s="57"/>
    </row>
    <row r="715">
      <c r="A715" s="57"/>
      <c r="B715" s="57"/>
      <c r="C715" s="57"/>
    </row>
    <row r="716">
      <c r="A716" s="57"/>
      <c r="B716" s="57"/>
      <c r="C716" s="57"/>
    </row>
    <row r="717">
      <c r="A717" s="57"/>
      <c r="B717" s="57"/>
      <c r="C717" s="57"/>
    </row>
    <row r="718">
      <c r="A718" s="57"/>
      <c r="B718" s="57"/>
      <c r="C718" s="57"/>
    </row>
    <row r="719">
      <c r="A719" s="57"/>
      <c r="B719" s="57"/>
      <c r="C719" s="57"/>
    </row>
    <row r="720">
      <c r="A720" s="57"/>
      <c r="B720" s="57"/>
      <c r="C720" s="57"/>
    </row>
    <row r="721">
      <c r="A721" s="57"/>
      <c r="B721" s="57"/>
      <c r="C721" s="57"/>
    </row>
    <row r="722">
      <c r="A722" s="57"/>
      <c r="B722" s="57"/>
      <c r="C722" s="57"/>
    </row>
    <row r="723">
      <c r="A723" s="57"/>
      <c r="B723" s="57"/>
      <c r="C723" s="57"/>
    </row>
    <row r="724">
      <c r="A724" s="57"/>
      <c r="B724" s="57"/>
      <c r="C724" s="57"/>
    </row>
    <row r="725">
      <c r="A725" s="57"/>
      <c r="B725" s="57"/>
      <c r="C725" s="57"/>
    </row>
    <row r="726">
      <c r="A726" s="57"/>
      <c r="B726" s="57"/>
      <c r="C726" s="57"/>
    </row>
    <row r="727">
      <c r="A727" s="57"/>
      <c r="B727" s="57"/>
      <c r="C727" s="57"/>
    </row>
    <row r="728">
      <c r="A728" s="57"/>
      <c r="B728" s="57"/>
      <c r="C728" s="57"/>
    </row>
    <row r="729">
      <c r="A729" s="57"/>
      <c r="B729" s="57"/>
      <c r="C729" s="57"/>
    </row>
    <row r="730">
      <c r="A730" s="57"/>
      <c r="B730" s="57"/>
      <c r="C730" s="57"/>
    </row>
    <row r="731">
      <c r="A731" s="57"/>
      <c r="B731" s="57"/>
      <c r="C731" s="57"/>
    </row>
    <row r="732">
      <c r="A732" s="57"/>
      <c r="B732" s="57"/>
      <c r="C732" s="57"/>
    </row>
    <row r="733">
      <c r="A733" s="57"/>
      <c r="B733" s="57"/>
      <c r="C733" s="57"/>
    </row>
    <row r="734">
      <c r="A734" s="57"/>
      <c r="B734" s="57"/>
      <c r="C734" s="57"/>
    </row>
    <row r="735">
      <c r="A735" s="57"/>
      <c r="B735" s="57"/>
      <c r="C735" s="57"/>
    </row>
    <row r="736">
      <c r="A736" s="57"/>
      <c r="B736" s="57"/>
      <c r="C736" s="57"/>
    </row>
    <row r="737">
      <c r="A737" s="57"/>
      <c r="B737" s="57"/>
      <c r="C737" s="57"/>
    </row>
    <row r="738">
      <c r="A738" s="57"/>
      <c r="B738" s="57"/>
      <c r="C738" s="57"/>
    </row>
    <row r="739">
      <c r="A739" s="57"/>
      <c r="B739" s="57"/>
      <c r="C739" s="57"/>
    </row>
    <row r="740">
      <c r="A740" s="57"/>
      <c r="B740" s="57"/>
      <c r="C740" s="57"/>
    </row>
    <row r="741">
      <c r="A741" s="57"/>
      <c r="B741" s="57"/>
      <c r="C741" s="57"/>
    </row>
    <row r="742">
      <c r="A742" s="57"/>
      <c r="B742" s="57"/>
      <c r="C742" s="57"/>
    </row>
    <row r="743">
      <c r="A743" s="57"/>
      <c r="B743" s="57"/>
      <c r="C743" s="57"/>
    </row>
    <row r="744">
      <c r="A744" s="57"/>
      <c r="B744" s="57"/>
      <c r="C744" s="57"/>
    </row>
    <row r="745">
      <c r="A745" s="57"/>
      <c r="B745" s="57"/>
      <c r="C745" s="57"/>
    </row>
    <row r="746">
      <c r="A746" s="57"/>
      <c r="B746" s="57"/>
      <c r="C746" s="57"/>
    </row>
    <row r="747">
      <c r="A747" s="57"/>
      <c r="B747" s="57"/>
      <c r="C747" s="57"/>
    </row>
    <row r="748">
      <c r="A748" s="57"/>
      <c r="B748" s="57"/>
      <c r="C748" s="57"/>
    </row>
    <row r="749">
      <c r="A749" s="57"/>
      <c r="B749" s="57"/>
      <c r="C749" s="57"/>
    </row>
    <row r="750">
      <c r="A750" s="57"/>
      <c r="B750" s="57"/>
      <c r="C750" s="57"/>
    </row>
    <row r="751">
      <c r="A751" s="57"/>
      <c r="B751" s="57"/>
      <c r="C751" s="57"/>
    </row>
    <row r="752">
      <c r="A752" s="57"/>
      <c r="B752" s="57"/>
      <c r="C752" s="57"/>
    </row>
    <row r="753">
      <c r="A753" s="57"/>
      <c r="B753" s="57"/>
      <c r="C753" s="57"/>
    </row>
    <row r="754">
      <c r="A754" s="57"/>
      <c r="B754" s="57"/>
      <c r="C754" s="57"/>
    </row>
    <row r="755">
      <c r="A755" s="57"/>
      <c r="B755" s="57"/>
      <c r="C755" s="57"/>
    </row>
    <row r="756">
      <c r="A756" s="57"/>
      <c r="B756" s="57"/>
      <c r="C756" s="57"/>
    </row>
    <row r="757">
      <c r="A757" s="57"/>
      <c r="B757" s="57"/>
      <c r="C757" s="57"/>
    </row>
    <row r="758">
      <c r="A758" s="57"/>
      <c r="B758" s="57"/>
      <c r="C758" s="57"/>
    </row>
    <row r="759">
      <c r="A759" s="57"/>
      <c r="B759" s="57"/>
      <c r="C759" s="57"/>
    </row>
    <row r="760">
      <c r="A760" s="57"/>
      <c r="B760" s="57"/>
      <c r="C760" s="57"/>
    </row>
    <row r="761">
      <c r="A761" s="57"/>
      <c r="B761" s="57"/>
      <c r="C761" s="57"/>
    </row>
    <row r="762">
      <c r="A762" s="57"/>
      <c r="B762" s="57"/>
      <c r="C762" s="57"/>
    </row>
    <row r="763">
      <c r="A763" s="57"/>
      <c r="B763" s="57"/>
      <c r="C763" s="57"/>
    </row>
    <row r="764">
      <c r="A764" s="57"/>
      <c r="B764" s="57"/>
      <c r="C764" s="57"/>
    </row>
    <row r="765">
      <c r="A765" s="57"/>
      <c r="B765" s="57"/>
      <c r="C765" s="57"/>
    </row>
    <row r="766">
      <c r="A766" s="57"/>
      <c r="B766" s="57"/>
      <c r="C766" s="57"/>
    </row>
    <row r="767">
      <c r="A767" s="57"/>
      <c r="B767" s="57"/>
      <c r="C767" s="57"/>
    </row>
    <row r="768">
      <c r="A768" s="57"/>
      <c r="B768" s="57"/>
      <c r="C768" s="57"/>
    </row>
    <row r="769">
      <c r="A769" s="57"/>
      <c r="B769" s="57"/>
      <c r="C769" s="57"/>
    </row>
    <row r="770">
      <c r="A770" s="57"/>
      <c r="B770" s="57"/>
      <c r="C770" s="57"/>
    </row>
    <row r="771">
      <c r="A771" s="57"/>
      <c r="B771" s="57"/>
      <c r="C771" s="57"/>
    </row>
    <row r="772">
      <c r="A772" s="57"/>
      <c r="B772" s="57"/>
      <c r="C772" s="57"/>
    </row>
    <row r="773">
      <c r="A773" s="57"/>
      <c r="B773" s="57"/>
      <c r="C773" s="57"/>
    </row>
    <row r="774">
      <c r="A774" s="57"/>
      <c r="B774" s="57"/>
      <c r="C774" s="57"/>
    </row>
    <row r="775">
      <c r="A775" s="57"/>
      <c r="B775" s="57"/>
      <c r="C775" s="57"/>
    </row>
    <row r="776">
      <c r="A776" s="57"/>
      <c r="B776" s="57"/>
      <c r="C776" s="57"/>
    </row>
    <row r="777">
      <c r="A777" s="57"/>
      <c r="B777" s="57"/>
      <c r="C777" s="57"/>
    </row>
    <row r="778">
      <c r="A778" s="57"/>
      <c r="B778" s="57"/>
      <c r="C778" s="57"/>
    </row>
    <row r="779">
      <c r="A779" s="57"/>
      <c r="B779" s="57"/>
      <c r="C779" s="57"/>
    </row>
    <row r="780">
      <c r="A780" s="57"/>
      <c r="B780" s="57"/>
      <c r="C780" s="57"/>
    </row>
    <row r="781">
      <c r="A781" s="57"/>
      <c r="B781" s="57"/>
      <c r="C781" s="57"/>
    </row>
    <row r="782">
      <c r="A782" s="57"/>
      <c r="B782" s="57"/>
      <c r="C782" s="57"/>
    </row>
    <row r="783">
      <c r="A783" s="57"/>
      <c r="B783" s="57"/>
      <c r="C783" s="57"/>
    </row>
    <row r="784">
      <c r="A784" s="57"/>
      <c r="B784" s="57"/>
      <c r="C784" s="57"/>
    </row>
    <row r="785">
      <c r="A785" s="57"/>
      <c r="B785" s="57"/>
      <c r="C785" s="57"/>
    </row>
    <row r="786">
      <c r="A786" s="57"/>
      <c r="B786" s="57"/>
      <c r="C786" s="57"/>
    </row>
    <row r="787">
      <c r="A787" s="57"/>
      <c r="B787" s="57"/>
      <c r="C787" s="57"/>
    </row>
    <row r="788">
      <c r="A788" s="57"/>
      <c r="B788" s="57"/>
      <c r="C788" s="57"/>
    </row>
    <row r="789">
      <c r="A789" s="57"/>
      <c r="B789" s="57"/>
      <c r="C789" s="57"/>
    </row>
    <row r="790">
      <c r="A790" s="57"/>
      <c r="B790" s="57"/>
      <c r="C790" s="57"/>
    </row>
    <row r="791">
      <c r="A791" s="57"/>
      <c r="B791" s="57"/>
      <c r="C791" s="57"/>
    </row>
    <row r="792">
      <c r="A792" s="57"/>
      <c r="B792" s="57"/>
      <c r="C792" s="57"/>
    </row>
    <row r="793">
      <c r="A793" s="57"/>
      <c r="B793" s="57"/>
      <c r="C793" s="57"/>
    </row>
    <row r="794">
      <c r="A794" s="57"/>
      <c r="B794" s="57"/>
      <c r="C794" s="57"/>
    </row>
    <row r="795">
      <c r="A795" s="57"/>
      <c r="B795" s="57"/>
      <c r="C795" s="57"/>
    </row>
    <row r="796">
      <c r="A796" s="57"/>
      <c r="B796" s="57"/>
      <c r="C796" s="57"/>
    </row>
    <row r="797">
      <c r="A797" s="57"/>
      <c r="B797" s="57"/>
      <c r="C797" s="57"/>
    </row>
    <row r="798">
      <c r="A798" s="57"/>
      <c r="B798" s="57"/>
      <c r="C798" s="57"/>
    </row>
    <row r="799">
      <c r="A799" s="57"/>
      <c r="B799" s="57"/>
      <c r="C799" s="57"/>
    </row>
    <row r="800">
      <c r="A800" s="57"/>
      <c r="B800" s="57"/>
      <c r="C800" s="57"/>
    </row>
    <row r="801">
      <c r="A801" s="57"/>
      <c r="B801" s="57"/>
      <c r="C801" s="57"/>
    </row>
    <row r="802">
      <c r="A802" s="57"/>
      <c r="B802" s="57"/>
      <c r="C802" s="57"/>
    </row>
    <row r="803">
      <c r="A803" s="57"/>
      <c r="B803" s="57"/>
      <c r="C803" s="57"/>
    </row>
    <row r="804">
      <c r="A804" s="57"/>
      <c r="B804" s="57"/>
      <c r="C804" s="57"/>
    </row>
    <row r="805">
      <c r="A805" s="57"/>
      <c r="B805" s="57"/>
      <c r="C805" s="57"/>
    </row>
    <row r="806">
      <c r="A806" s="57"/>
      <c r="B806" s="57"/>
      <c r="C806" s="57"/>
    </row>
    <row r="807">
      <c r="A807" s="57"/>
      <c r="B807" s="57"/>
      <c r="C807" s="57"/>
    </row>
    <row r="808">
      <c r="A808" s="57"/>
      <c r="B808" s="57"/>
      <c r="C808" s="57"/>
    </row>
    <row r="809">
      <c r="A809" s="57"/>
      <c r="B809" s="57"/>
      <c r="C809" s="57"/>
    </row>
    <row r="810">
      <c r="A810" s="57"/>
      <c r="B810" s="57"/>
      <c r="C810" s="57"/>
    </row>
    <row r="811">
      <c r="A811" s="57"/>
      <c r="B811" s="57"/>
      <c r="C811" s="57"/>
    </row>
    <row r="812">
      <c r="A812" s="57"/>
      <c r="B812" s="57"/>
      <c r="C812" s="57"/>
    </row>
    <row r="813">
      <c r="A813" s="57"/>
      <c r="B813" s="57"/>
      <c r="C813" s="57"/>
    </row>
    <row r="814">
      <c r="A814" s="57"/>
      <c r="B814" s="57"/>
      <c r="C814" s="57"/>
    </row>
    <row r="815">
      <c r="A815" s="57"/>
      <c r="B815" s="57"/>
      <c r="C815" s="57"/>
    </row>
    <row r="816">
      <c r="A816" s="57"/>
      <c r="B816" s="57"/>
      <c r="C816" s="57"/>
    </row>
    <row r="817">
      <c r="A817" s="57"/>
      <c r="B817" s="57"/>
      <c r="C817" s="57"/>
    </row>
    <row r="818">
      <c r="A818" s="57"/>
      <c r="B818" s="57"/>
      <c r="C818" s="57"/>
    </row>
    <row r="819">
      <c r="A819" s="57"/>
      <c r="B819" s="57"/>
      <c r="C819" s="57"/>
    </row>
    <row r="820">
      <c r="A820" s="57"/>
      <c r="B820" s="57"/>
      <c r="C820" s="57"/>
    </row>
    <row r="821">
      <c r="A821" s="57"/>
      <c r="B821" s="57"/>
      <c r="C821" s="57"/>
    </row>
    <row r="822">
      <c r="A822" s="57"/>
      <c r="B822" s="57"/>
      <c r="C822" s="57"/>
    </row>
    <row r="823">
      <c r="A823" s="57"/>
      <c r="B823" s="57"/>
      <c r="C823" s="57"/>
    </row>
    <row r="824">
      <c r="A824" s="57"/>
      <c r="B824" s="57"/>
      <c r="C824" s="57"/>
    </row>
    <row r="825">
      <c r="A825" s="57"/>
      <c r="B825" s="57"/>
      <c r="C825" s="57"/>
    </row>
    <row r="826">
      <c r="A826" s="57"/>
      <c r="B826" s="57"/>
      <c r="C826" s="57"/>
    </row>
    <row r="827">
      <c r="A827" s="57"/>
      <c r="B827" s="57"/>
      <c r="C827" s="57"/>
    </row>
    <row r="828">
      <c r="A828" s="57"/>
      <c r="B828" s="57"/>
      <c r="C828" s="57"/>
    </row>
    <row r="829">
      <c r="A829" s="57"/>
      <c r="B829" s="57"/>
      <c r="C829" s="57"/>
    </row>
    <row r="830">
      <c r="A830" s="57"/>
      <c r="B830" s="57"/>
      <c r="C830" s="57"/>
    </row>
    <row r="831">
      <c r="A831" s="57"/>
      <c r="B831" s="57"/>
      <c r="C831" s="57"/>
    </row>
    <row r="832">
      <c r="A832" s="57"/>
      <c r="B832" s="57"/>
      <c r="C832" s="57"/>
    </row>
    <row r="833">
      <c r="A833" s="57"/>
      <c r="B833" s="57"/>
      <c r="C833" s="57"/>
    </row>
    <row r="834">
      <c r="A834" s="57"/>
      <c r="B834" s="57"/>
      <c r="C834" s="57"/>
    </row>
    <row r="835">
      <c r="A835" s="57"/>
      <c r="B835" s="57"/>
      <c r="C835" s="57"/>
    </row>
    <row r="836">
      <c r="A836" s="57"/>
      <c r="B836" s="57"/>
      <c r="C836" s="57"/>
    </row>
    <row r="837">
      <c r="A837" s="57"/>
      <c r="B837" s="57"/>
      <c r="C837" s="57"/>
    </row>
    <row r="838">
      <c r="A838" s="57"/>
      <c r="B838" s="57"/>
      <c r="C838" s="57"/>
    </row>
    <row r="839">
      <c r="A839" s="57"/>
      <c r="B839" s="57"/>
      <c r="C839" s="57"/>
    </row>
    <row r="840">
      <c r="A840" s="57"/>
      <c r="B840" s="57"/>
      <c r="C840" s="57"/>
    </row>
    <row r="841">
      <c r="A841" s="57"/>
      <c r="B841" s="57"/>
      <c r="C841" s="57"/>
    </row>
    <row r="842">
      <c r="A842" s="57"/>
      <c r="B842" s="57"/>
      <c r="C842" s="57"/>
    </row>
    <row r="843">
      <c r="A843" s="57"/>
      <c r="B843" s="57"/>
      <c r="C843" s="57"/>
    </row>
    <row r="844">
      <c r="A844" s="57"/>
      <c r="B844" s="57"/>
      <c r="C844" s="57"/>
    </row>
    <row r="845">
      <c r="A845" s="57"/>
      <c r="B845" s="57"/>
      <c r="C845" s="57"/>
    </row>
    <row r="846">
      <c r="A846" s="57"/>
      <c r="B846" s="57"/>
      <c r="C846" s="57"/>
    </row>
    <row r="847">
      <c r="A847" s="57"/>
      <c r="B847" s="57"/>
      <c r="C847" s="57"/>
    </row>
    <row r="848">
      <c r="A848" s="57"/>
      <c r="B848" s="57"/>
      <c r="C848" s="57"/>
    </row>
    <row r="849">
      <c r="A849" s="57"/>
      <c r="B849" s="57"/>
      <c r="C849" s="57"/>
    </row>
    <row r="850">
      <c r="A850" s="57"/>
      <c r="B850" s="57"/>
      <c r="C850" s="57"/>
    </row>
    <row r="851">
      <c r="A851" s="57"/>
      <c r="B851" s="57"/>
      <c r="C851" s="57"/>
    </row>
    <row r="852">
      <c r="A852" s="57"/>
      <c r="B852" s="57"/>
      <c r="C852" s="57"/>
    </row>
    <row r="853">
      <c r="A853" s="57"/>
      <c r="B853" s="57"/>
      <c r="C853" s="57"/>
    </row>
    <row r="854">
      <c r="A854" s="57"/>
      <c r="B854" s="57"/>
      <c r="C854" s="57"/>
    </row>
    <row r="855">
      <c r="A855" s="57"/>
      <c r="B855" s="57"/>
      <c r="C855" s="57"/>
    </row>
    <row r="856">
      <c r="A856" s="57"/>
      <c r="B856" s="57"/>
      <c r="C856" s="57"/>
    </row>
    <row r="857">
      <c r="A857" s="57"/>
      <c r="B857" s="57"/>
      <c r="C857" s="57"/>
    </row>
    <row r="858">
      <c r="A858" s="57"/>
      <c r="B858" s="57"/>
      <c r="C858" s="57"/>
    </row>
    <row r="859">
      <c r="A859" s="57"/>
      <c r="B859" s="57"/>
      <c r="C859" s="57"/>
    </row>
    <row r="860">
      <c r="A860" s="57"/>
      <c r="B860" s="57"/>
      <c r="C860" s="57"/>
    </row>
    <row r="861">
      <c r="A861" s="57"/>
      <c r="B861" s="57"/>
      <c r="C861" s="57"/>
    </row>
    <row r="862">
      <c r="A862" s="57"/>
      <c r="B862" s="57"/>
      <c r="C862" s="57"/>
    </row>
    <row r="863">
      <c r="A863" s="57"/>
      <c r="B863" s="57"/>
      <c r="C863" s="57"/>
    </row>
    <row r="864">
      <c r="A864" s="57"/>
      <c r="B864" s="57"/>
      <c r="C864" s="57"/>
    </row>
    <row r="865">
      <c r="A865" s="57"/>
      <c r="B865" s="57"/>
      <c r="C865" s="57"/>
    </row>
    <row r="866">
      <c r="A866" s="57"/>
      <c r="B866" s="57"/>
      <c r="C866" s="57"/>
    </row>
    <row r="867">
      <c r="A867" s="57"/>
      <c r="B867" s="57"/>
      <c r="C867" s="57"/>
    </row>
    <row r="868">
      <c r="A868" s="57"/>
      <c r="B868" s="57"/>
      <c r="C868" s="57"/>
    </row>
    <row r="869">
      <c r="A869" s="57"/>
      <c r="B869" s="57"/>
      <c r="C869" s="57"/>
    </row>
    <row r="870">
      <c r="A870" s="57"/>
      <c r="B870" s="57"/>
      <c r="C870" s="57"/>
    </row>
    <row r="871">
      <c r="A871" s="57"/>
      <c r="B871" s="57"/>
      <c r="C871" s="57"/>
    </row>
    <row r="872">
      <c r="A872" s="57"/>
      <c r="B872" s="57"/>
      <c r="C872" s="57"/>
    </row>
    <row r="873">
      <c r="A873" s="57"/>
      <c r="B873" s="57"/>
      <c r="C873" s="57"/>
    </row>
    <row r="874">
      <c r="A874" s="57"/>
      <c r="B874" s="57"/>
      <c r="C874" s="57"/>
    </row>
    <row r="875">
      <c r="A875" s="57"/>
      <c r="B875" s="57"/>
      <c r="C875" s="57"/>
    </row>
    <row r="876">
      <c r="A876" s="57"/>
      <c r="B876" s="57"/>
      <c r="C876" s="57"/>
    </row>
    <row r="877">
      <c r="A877" s="57"/>
      <c r="B877" s="57"/>
      <c r="C877" s="57"/>
    </row>
    <row r="878">
      <c r="A878" s="57"/>
      <c r="B878" s="57"/>
      <c r="C878" s="57"/>
    </row>
    <row r="879">
      <c r="A879" s="57"/>
      <c r="B879" s="57"/>
      <c r="C879" s="57"/>
    </row>
    <row r="880">
      <c r="A880" s="57"/>
      <c r="B880" s="57"/>
      <c r="C880" s="57"/>
    </row>
    <row r="881">
      <c r="A881" s="57"/>
      <c r="B881" s="57"/>
      <c r="C881" s="57"/>
    </row>
    <row r="882">
      <c r="A882" s="57"/>
      <c r="B882" s="57"/>
      <c r="C882" s="57"/>
    </row>
    <row r="883">
      <c r="A883" s="57"/>
      <c r="B883" s="57"/>
      <c r="C883" s="57"/>
    </row>
    <row r="884">
      <c r="A884" s="57"/>
      <c r="B884" s="57"/>
      <c r="C884" s="57"/>
    </row>
    <row r="885">
      <c r="A885" s="57"/>
      <c r="B885" s="57"/>
      <c r="C885" s="57"/>
    </row>
    <row r="886">
      <c r="A886" s="57"/>
      <c r="B886" s="57"/>
      <c r="C886" s="57"/>
    </row>
    <row r="887">
      <c r="A887" s="57"/>
      <c r="B887" s="57"/>
      <c r="C887" s="57"/>
    </row>
    <row r="888">
      <c r="A888" s="57"/>
      <c r="B888" s="57"/>
      <c r="C888" s="57"/>
    </row>
    <row r="889">
      <c r="A889" s="57"/>
      <c r="B889" s="57"/>
      <c r="C889" s="57"/>
    </row>
    <row r="890">
      <c r="A890" s="57"/>
      <c r="B890" s="57"/>
      <c r="C890" s="57"/>
    </row>
    <row r="891">
      <c r="A891" s="57"/>
      <c r="B891" s="57"/>
      <c r="C891" s="57"/>
    </row>
    <row r="892">
      <c r="A892" s="57"/>
      <c r="B892" s="57"/>
      <c r="C892" s="57"/>
    </row>
    <row r="893">
      <c r="A893" s="57"/>
      <c r="B893" s="57"/>
      <c r="C893" s="57"/>
    </row>
    <row r="894">
      <c r="A894" s="57"/>
      <c r="B894" s="57"/>
      <c r="C894" s="57"/>
    </row>
    <row r="895">
      <c r="A895" s="57"/>
      <c r="B895" s="57"/>
      <c r="C895" s="57"/>
    </row>
    <row r="896">
      <c r="A896" s="57"/>
      <c r="B896" s="57"/>
      <c r="C896" s="57"/>
    </row>
    <row r="897">
      <c r="A897" s="57"/>
      <c r="B897" s="57"/>
      <c r="C897" s="57"/>
    </row>
    <row r="898">
      <c r="A898" s="57"/>
      <c r="B898" s="57"/>
      <c r="C898" s="57"/>
    </row>
    <row r="899">
      <c r="A899" s="57"/>
      <c r="B899" s="57"/>
      <c r="C899" s="57"/>
    </row>
    <row r="900">
      <c r="A900" s="57"/>
      <c r="B900" s="57"/>
      <c r="C900" s="57"/>
    </row>
    <row r="901">
      <c r="A901" s="57"/>
      <c r="B901" s="57"/>
      <c r="C901" s="57"/>
    </row>
    <row r="902">
      <c r="A902" s="57"/>
      <c r="B902" s="57"/>
      <c r="C902" s="57"/>
    </row>
    <row r="903">
      <c r="A903" s="57"/>
      <c r="B903" s="57"/>
      <c r="C903" s="57"/>
    </row>
    <row r="904">
      <c r="A904" s="57"/>
      <c r="B904" s="57"/>
      <c r="C904" s="57"/>
    </row>
    <row r="905">
      <c r="A905" s="57"/>
      <c r="B905" s="57"/>
      <c r="C905" s="57"/>
    </row>
    <row r="906">
      <c r="A906" s="57"/>
      <c r="B906" s="57"/>
      <c r="C906" s="57"/>
    </row>
    <row r="907">
      <c r="A907" s="57"/>
      <c r="B907" s="57"/>
      <c r="C907" s="57"/>
    </row>
    <row r="908">
      <c r="A908" s="57"/>
      <c r="B908" s="57"/>
      <c r="C908" s="57"/>
    </row>
    <row r="909">
      <c r="A909" s="57"/>
      <c r="B909" s="57"/>
      <c r="C909" s="57"/>
    </row>
    <row r="910">
      <c r="A910" s="57"/>
      <c r="B910" s="57"/>
      <c r="C910" s="57"/>
    </row>
    <row r="911">
      <c r="A911" s="57"/>
      <c r="B911" s="57"/>
      <c r="C911" s="57"/>
    </row>
    <row r="912">
      <c r="A912" s="57"/>
      <c r="B912" s="57"/>
      <c r="C912" s="57"/>
    </row>
    <row r="913">
      <c r="A913" s="57"/>
      <c r="B913" s="57"/>
      <c r="C913" s="57"/>
    </row>
    <row r="914">
      <c r="A914" s="57"/>
      <c r="B914" s="57"/>
      <c r="C914" s="57"/>
    </row>
    <row r="915">
      <c r="A915" s="57"/>
      <c r="B915" s="57"/>
      <c r="C915" s="57"/>
    </row>
    <row r="916">
      <c r="A916" s="57"/>
      <c r="B916" s="57"/>
      <c r="C916" s="57"/>
    </row>
    <row r="917">
      <c r="A917" s="57"/>
      <c r="B917" s="57"/>
      <c r="C917" s="57"/>
    </row>
    <row r="918">
      <c r="A918" s="57"/>
      <c r="B918" s="57"/>
      <c r="C918" s="57"/>
    </row>
    <row r="919">
      <c r="A919" s="57"/>
      <c r="B919" s="57"/>
      <c r="C919" s="57"/>
    </row>
    <row r="920">
      <c r="A920" s="57"/>
      <c r="B920" s="57"/>
      <c r="C920" s="57"/>
    </row>
    <row r="921">
      <c r="A921" s="57"/>
      <c r="B921" s="57"/>
      <c r="C921" s="57"/>
    </row>
    <row r="922">
      <c r="A922" s="57"/>
      <c r="B922" s="57"/>
      <c r="C922" s="57"/>
    </row>
    <row r="923">
      <c r="A923" s="57"/>
      <c r="B923" s="57"/>
      <c r="C923" s="57"/>
    </row>
    <row r="924">
      <c r="A924" s="57"/>
      <c r="B924" s="57"/>
      <c r="C924" s="57"/>
    </row>
    <row r="925">
      <c r="A925" s="57"/>
      <c r="B925" s="57"/>
      <c r="C925" s="57"/>
    </row>
    <row r="926">
      <c r="A926" s="57"/>
      <c r="B926" s="57"/>
      <c r="C926" s="57"/>
    </row>
    <row r="927">
      <c r="A927" s="57"/>
      <c r="B927" s="57"/>
      <c r="C927" s="57"/>
    </row>
    <row r="928">
      <c r="A928" s="57"/>
      <c r="B928" s="57"/>
      <c r="C928" s="57"/>
    </row>
    <row r="929">
      <c r="A929" s="57"/>
      <c r="B929" s="57"/>
      <c r="C929" s="57"/>
    </row>
    <row r="930">
      <c r="A930" s="57"/>
      <c r="B930" s="57"/>
      <c r="C930" s="57"/>
    </row>
    <row r="931">
      <c r="A931" s="57"/>
      <c r="B931" s="57"/>
      <c r="C931" s="57"/>
    </row>
    <row r="932">
      <c r="A932" s="57"/>
      <c r="B932" s="57"/>
      <c r="C932" s="57"/>
    </row>
    <row r="933">
      <c r="A933" s="57"/>
      <c r="B933" s="57"/>
      <c r="C933" s="57"/>
    </row>
    <row r="934">
      <c r="A934" s="57"/>
      <c r="B934" s="57"/>
      <c r="C934" s="57"/>
    </row>
    <row r="935">
      <c r="A935" s="57"/>
      <c r="B935" s="57"/>
      <c r="C935" s="57"/>
    </row>
    <row r="936">
      <c r="A936" s="57"/>
      <c r="B936" s="57"/>
      <c r="C936" s="57"/>
    </row>
    <row r="937">
      <c r="A937" s="57"/>
      <c r="B937" s="57"/>
      <c r="C937" s="57"/>
    </row>
    <row r="938">
      <c r="A938" s="57"/>
      <c r="B938" s="57"/>
      <c r="C938" s="57"/>
    </row>
    <row r="939">
      <c r="A939" s="57"/>
      <c r="B939" s="57"/>
      <c r="C939" s="57"/>
    </row>
    <row r="940">
      <c r="A940" s="57"/>
      <c r="B940" s="57"/>
      <c r="C940" s="57"/>
    </row>
    <row r="941">
      <c r="A941" s="57"/>
      <c r="B941" s="57"/>
      <c r="C941" s="57"/>
    </row>
    <row r="942">
      <c r="A942" s="57"/>
      <c r="B942" s="57"/>
      <c r="C942" s="57"/>
    </row>
    <row r="943">
      <c r="A943" s="57"/>
      <c r="B943" s="57"/>
      <c r="C943" s="57"/>
    </row>
    <row r="944">
      <c r="A944" s="57"/>
      <c r="B944" s="57"/>
      <c r="C944" s="57"/>
    </row>
    <row r="945">
      <c r="A945" s="57"/>
      <c r="B945" s="57"/>
      <c r="C945" s="57"/>
    </row>
    <row r="946">
      <c r="A946" s="57"/>
      <c r="B946" s="57"/>
      <c r="C946" s="57"/>
    </row>
    <row r="947">
      <c r="A947" s="57"/>
      <c r="B947" s="57"/>
      <c r="C947" s="57"/>
    </row>
    <row r="948">
      <c r="A948" s="57"/>
      <c r="B948" s="57"/>
      <c r="C948" s="57"/>
    </row>
    <row r="949">
      <c r="A949" s="57"/>
      <c r="B949" s="57"/>
      <c r="C949" s="57"/>
    </row>
    <row r="950">
      <c r="A950" s="57"/>
      <c r="B950" s="57"/>
      <c r="C950" s="57"/>
    </row>
    <row r="951">
      <c r="A951" s="57"/>
      <c r="B951" s="57"/>
      <c r="C951" s="57"/>
    </row>
    <row r="952">
      <c r="A952" s="57"/>
      <c r="B952" s="57"/>
      <c r="C952" s="57"/>
    </row>
    <row r="953">
      <c r="A953" s="57"/>
      <c r="B953" s="57"/>
      <c r="C953" s="57"/>
    </row>
    <row r="954">
      <c r="A954" s="57"/>
      <c r="B954" s="57"/>
      <c r="C954" s="57"/>
    </row>
    <row r="955">
      <c r="A955" s="57"/>
      <c r="B955" s="57"/>
      <c r="C955" s="57"/>
    </row>
    <row r="956">
      <c r="A956" s="57"/>
      <c r="B956" s="57"/>
      <c r="C956" s="57"/>
    </row>
    <row r="957">
      <c r="A957" s="57"/>
      <c r="B957" s="57"/>
      <c r="C957" s="57"/>
    </row>
    <row r="958">
      <c r="A958" s="57"/>
      <c r="B958" s="57"/>
      <c r="C958" s="57"/>
    </row>
    <row r="959">
      <c r="A959" s="57"/>
      <c r="B959" s="57"/>
      <c r="C959" s="57"/>
    </row>
    <row r="960">
      <c r="A960" s="57"/>
      <c r="B960" s="57"/>
      <c r="C960" s="57"/>
    </row>
    <row r="961">
      <c r="A961" s="57"/>
      <c r="B961" s="57"/>
      <c r="C961" s="57"/>
    </row>
    <row r="962">
      <c r="A962" s="57"/>
      <c r="B962" s="57"/>
      <c r="C962" s="57"/>
    </row>
    <row r="963">
      <c r="A963" s="57"/>
      <c r="B963" s="57"/>
      <c r="C963" s="57"/>
    </row>
    <row r="964">
      <c r="A964" s="57"/>
      <c r="B964" s="57"/>
      <c r="C964" s="57"/>
    </row>
    <row r="965">
      <c r="A965" s="57"/>
      <c r="B965" s="57"/>
      <c r="C965" s="57"/>
    </row>
    <row r="966">
      <c r="A966" s="57"/>
      <c r="B966" s="57"/>
      <c r="C966" s="57"/>
    </row>
    <row r="967">
      <c r="A967" s="57"/>
      <c r="B967" s="57"/>
      <c r="C967" s="57"/>
    </row>
    <row r="968">
      <c r="A968" s="57"/>
      <c r="B968" s="57"/>
      <c r="C968" s="57"/>
    </row>
    <row r="969">
      <c r="A969" s="57"/>
      <c r="B969" s="57"/>
      <c r="C969" s="57"/>
    </row>
    <row r="970">
      <c r="A970" s="57"/>
      <c r="B970" s="57"/>
      <c r="C970" s="57"/>
    </row>
    <row r="971">
      <c r="A971" s="57"/>
      <c r="B971" s="57"/>
      <c r="C971" s="57"/>
    </row>
    <row r="972">
      <c r="A972" s="57"/>
      <c r="B972" s="57"/>
      <c r="C972" s="57"/>
    </row>
    <row r="973">
      <c r="A973" s="57"/>
      <c r="B973" s="57"/>
      <c r="C973" s="57"/>
    </row>
    <row r="974">
      <c r="A974" s="57"/>
      <c r="B974" s="57"/>
      <c r="C974" s="57"/>
    </row>
    <row r="975">
      <c r="A975" s="57"/>
      <c r="B975" s="57"/>
      <c r="C975" s="57"/>
    </row>
    <row r="976">
      <c r="A976" s="57"/>
      <c r="B976" s="57"/>
      <c r="C976" s="57"/>
    </row>
    <row r="977">
      <c r="A977" s="57"/>
      <c r="B977" s="57"/>
      <c r="C977" s="57"/>
    </row>
    <row r="978">
      <c r="A978" s="57"/>
      <c r="B978" s="57"/>
      <c r="C978" s="57"/>
    </row>
    <row r="979">
      <c r="A979" s="57"/>
      <c r="B979" s="57"/>
      <c r="C979" s="57"/>
    </row>
    <row r="980">
      <c r="A980" s="57"/>
      <c r="B980" s="57"/>
      <c r="C980" s="57"/>
    </row>
    <row r="981">
      <c r="A981" s="57"/>
      <c r="B981" s="57"/>
      <c r="C981" s="57"/>
    </row>
    <row r="982">
      <c r="A982" s="57"/>
      <c r="B982" s="57"/>
      <c r="C982" s="57"/>
    </row>
    <row r="983">
      <c r="A983" s="57"/>
      <c r="B983" s="57"/>
      <c r="C983" s="57"/>
    </row>
    <row r="984">
      <c r="A984" s="57"/>
      <c r="B984" s="57"/>
      <c r="C984" s="57"/>
    </row>
    <row r="985">
      <c r="A985" s="57"/>
      <c r="B985" s="57"/>
      <c r="C985" s="57"/>
    </row>
    <row r="986">
      <c r="A986" s="57"/>
      <c r="B986" s="57"/>
      <c r="C986" s="57"/>
    </row>
    <row r="987">
      <c r="A987" s="57"/>
      <c r="B987" s="57"/>
      <c r="C987" s="57"/>
    </row>
    <row r="988">
      <c r="A988" s="57"/>
      <c r="B988" s="57"/>
      <c r="C988" s="57"/>
    </row>
    <row r="989">
      <c r="A989" s="57"/>
      <c r="B989" s="57"/>
      <c r="C989" s="57"/>
    </row>
    <row r="990">
      <c r="A990" s="57"/>
      <c r="B990" s="57"/>
      <c r="C990" s="57"/>
    </row>
    <row r="991">
      <c r="A991" s="57"/>
      <c r="B991" s="57"/>
      <c r="C991" s="57"/>
    </row>
    <row r="992">
      <c r="A992" s="57"/>
      <c r="B992" s="57"/>
      <c r="C992" s="57"/>
    </row>
    <row r="993">
      <c r="A993" s="57"/>
      <c r="B993" s="57"/>
      <c r="C993" s="57"/>
    </row>
    <row r="994">
      <c r="A994" s="57"/>
      <c r="B994" s="57"/>
      <c r="C994" s="57"/>
    </row>
    <row r="995">
      <c r="A995" s="57"/>
      <c r="B995" s="57"/>
      <c r="C995" s="57"/>
    </row>
    <row r="996">
      <c r="A996" s="57"/>
      <c r="B996" s="57"/>
      <c r="C996" s="57"/>
    </row>
    <row r="997">
      <c r="A997" s="57"/>
      <c r="B997" s="57"/>
      <c r="C997" s="57"/>
    </row>
    <row r="998">
      <c r="A998" s="57"/>
      <c r="B998" s="57"/>
      <c r="C998" s="57"/>
    </row>
    <row r="999">
      <c r="A999" s="57"/>
      <c r="B999" s="57"/>
      <c r="C999" s="57"/>
    </row>
    <row r="1000">
      <c r="A1000" s="57"/>
      <c r="B1000" s="57"/>
      <c r="C1000" s="57"/>
    </row>
    <row r="1001">
      <c r="A1001" s="57"/>
      <c r="B1001" s="57"/>
      <c r="C1001" s="57"/>
    </row>
    <row r="1002">
      <c r="A1002" s="57"/>
      <c r="B1002" s="57"/>
      <c r="C1002" s="57"/>
    </row>
    <row r="1003">
      <c r="A1003" s="57"/>
      <c r="B1003" s="57"/>
      <c r="C1003" s="57"/>
    </row>
    <row r="1004">
      <c r="A1004" s="57"/>
      <c r="B1004" s="57"/>
      <c r="C1004" s="57"/>
    </row>
    <row r="1005">
      <c r="A1005" s="57"/>
      <c r="B1005" s="57"/>
      <c r="C1005" s="57"/>
    </row>
    <row r="1006">
      <c r="A1006" s="57"/>
      <c r="B1006" s="57"/>
      <c r="C1006" s="57"/>
    </row>
    <row r="1007">
      <c r="A1007" s="57"/>
      <c r="B1007" s="57"/>
      <c r="C1007" s="57"/>
    </row>
    <row r="1008">
      <c r="A1008" s="57"/>
      <c r="B1008" s="57"/>
      <c r="C1008" s="57"/>
    </row>
    <row r="1009">
      <c r="A1009" s="57"/>
      <c r="B1009" s="57"/>
      <c r="C1009" s="57"/>
    </row>
    <row r="1010">
      <c r="A1010" s="57"/>
      <c r="B1010" s="57"/>
      <c r="C1010" s="57"/>
    </row>
    <row r="1011">
      <c r="A1011" s="57"/>
      <c r="B1011" s="57"/>
      <c r="C1011" s="57"/>
    </row>
    <row r="1012">
      <c r="A1012" s="57"/>
      <c r="B1012" s="57"/>
      <c r="C1012" s="57"/>
    </row>
    <row r="1013">
      <c r="A1013" s="57"/>
      <c r="B1013" s="57"/>
      <c r="C1013" s="57"/>
    </row>
    <row r="1014">
      <c r="A1014" s="57"/>
      <c r="B1014" s="57"/>
      <c r="C1014" s="57"/>
    </row>
    <row r="1015">
      <c r="A1015" s="57"/>
      <c r="B1015" s="57"/>
      <c r="C1015" s="57"/>
    </row>
    <row r="1016">
      <c r="A1016" s="57"/>
      <c r="B1016" s="57"/>
      <c r="C1016" s="57"/>
    </row>
    <row r="1017">
      <c r="A1017" s="57"/>
      <c r="B1017" s="57"/>
      <c r="C1017" s="57"/>
    </row>
    <row r="1018">
      <c r="A1018" s="57"/>
      <c r="B1018" s="57"/>
      <c r="C1018" s="57"/>
    </row>
    <row r="1019">
      <c r="A1019" s="57"/>
      <c r="B1019" s="57"/>
      <c r="C1019" s="57"/>
    </row>
    <row r="1020">
      <c r="A1020" s="57"/>
      <c r="B1020" s="57"/>
      <c r="C1020" s="57"/>
    </row>
    <row r="1021">
      <c r="A1021" s="57"/>
      <c r="B1021" s="57"/>
      <c r="C1021" s="57"/>
    </row>
    <row r="1022">
      <c r="A1022" s="57"/>
      <c r="B1022" s="57"/>
      <c r="C1022" s="57"/>
    </row>
    <row r="1023">
      <c r="A1023" s="57"/>
      <c r="B1023" s="57"/>
      <c r="C1023" s="57"/>
    </row>
    <row r="1024">
      <c r="A1024" s="57"/>
      <c r="B1024" s="57"/>
      <c r="C1024" s="57"/>
    </row>
    <row r="1025">
      <c r="A1025" s="57"/>
      <c r="B1025" s="57"/>
      <c r="C1025" s="57"/>
    </row>
    <row r="1026">
      <c r="A1026" s="57"/>
      <c r="B1026" s="57"/>
      <c r="C1026" s="57"/>
    </row>
    <row r="1027">
      <c r="A1027" s="57"/>
      <c r="B1027" s="57"/>
      <c r="C1027" s="57"/>
    </row>
    <row r="1028">
      <c r="A1028" s="57"/>
      <c r="B1028" s="57"/>
      <c r="C1028" s="57"/>
    </row>
    <row r="1029">
      <c r="A1029" s="57"/>
      <c r="B1029" s="57"/>
      <c r="C1029" s="57"/>
    </row>
    <row r="1030">
      <c r="A1030" s="57"/>
      <c r="B1030" s="57"/>
      <c r="C1030" s="57"/>
    </row>
    <row r="1031">
      <c r="A1031" s="57"/>
      <c r="B1031" s="57"/>
      <c r="C1031" s="57"/>
    </row>
    <row r="1032">
      <c r="A1032" s="57"/>
      <c r="B1032" s="57"/>
      <c r="C1032" s="57"/>
    </row>
    <row r="1033">
      <c r="A1033" s="57"/>
      <c r="B1033" s="57"/>
      <c r="C1033" s="57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</cols>
  <sheetData>
    <row r="1">
      <c r="A1" s="134" t="s">
        <v>427</v>
      </c>
      <c r="B1" s="134" t="s">
        <v>428</v>
      </c>
      <c r="C1" s="135" t="s">
        <v>411</v>
      </c>
      <c r="D1" s="134" t="s">
        <v>429</v>
      </c>
      <c r="E1" s="134" t="s">
        <v>421</v>
      </c>
      <c r="F1" s="134" t="s">
        <v>418</v>
      </c>
      <c r="G1" s="134" t="s">
        <v>419</v>
      </c>
      <c r="H1" s="134" t="s">
        <v>420</v>
      </c>
      <c r="I1" s="134" t="s">
        <v>422</v>
      </c>
      <c r="J1" s="134" t="s">
        <v>430</v>
      </c>
      <c r="K1" s="134" t="s">
        <v>400</v>
      </c>
      <c r="L1" s="134" t="s">
        <v>431</v>
      </c>
      <c r="M1" s="134" t="s">
        <v>432</v>
      </c>
    </row>
    <row r="2">
      <c r="A2" s="125" t="s">
        <v>426</v>
      </c>
      <c r="B2" s="125" t="s">
        <v>426</v>
      </c>
      <c r="C2" s="125"/>
      <c r="D2" s="63" t="s">
        <v>426</v>
      </c>
      <c r="E2" s="128">
        <v>32.51</v>
      </c>
      <c r="F2" s="128">
        <v>3293.0</v>
      </c>
      <c r="G2" s="128">
        <v>1648.0</v>
      </c>
      <c r="H2" s="128">
        <v>284.0</v>
      </c>
      <c r="I2" s="128">
        <v>98360.0</v>
      </c>
      <c r="J2" s="128">
        <v>4502.6133</v>
      </c>
      <c r="K2" s="128">
        <v>4179.0</v>
      </c>
      <c r="L2" s="128">
        <v>1112807.0</v>
      </c>
      <c r="M2" s="128">
        <v>5.74</v>
      </c>
    </row>
    <row r="3">
      <c r="A3" s="125" t="s">
        <v>437</v>
      </c>
      <c r="B3" s="136" t="s">
        <v>438</v>
      </c>
      <c r="C3" s="126" t="s">
        <v>436</v>
      </c>
      <c r="D3" s="128">
        <v>623.0</v>
      </c>
      <c r="E3" s="128">
        <v>32.34</v>
      </c>
      <c r="F3" s="128">
        <v>1584.0</v>
      </c>
      <c r="G3" s="128">
        <v>1220.0</v>
      </c>
      <c r="H3" s="128">
        <v>180.0</v>
      </c>
      <c r="I3" s="128">
        <v>59564.0</v>
      </c>
      <c r="J3" s="128">
        <v>3333.4297</v>
      </c>
      <c r="K3" s="128">
        <v>2491.0</v>
      </c>
      <c r="L3" s="128">
        <v>733193.0</v>
      </c>
      <c r="M3" s="128">
        <v>6.34</v>
      </c>
    </row>
    <row r="4">
      <c r="A4" s="125" t="s">
        <v>440</v>
      </c>
      <c r="B4" s="136" t="s">
        <v>441</v>
      </c>
      <c r="C4" s="126" t="s">
        <v>436</v>
      </c>
      <c r="D4" s="128">
        <v>503.0</v>
      </c>
      <c r="E4" s="128">
        <v>37.07</v>
      </c>
      <c r="F4" s="128">
        <v>483.0</v>
      </c>
      <c r="G4" s="128">
        <v>156.0</v>
      </c>
      <c r="H4" s="128">
        <v>32.0</v>
      </c>
      <c r="I4" s="128">
        <v>10457.0</v>
      </c>
      <c r="J4" s="128">
        <v>541.6922</v>
      </c>
      <c r="K4" s="128">
        <v>441.0</v>
      </c>
      <c r="L4" s="128">
        <v>175350.0</v>
      </c>
      <c r="M4" s="128">
        <v>4.21</v>
      </c>
    </row>
    <row r="5">
      <c r="A5" s="125" t="s">
        <v>442</v>
      </c>
      <c r="B5" s="136" t="s">
        <v>443</v>
      </c>
      <c r="C5" s="126" t="s">
        <v>436</v>
      </c>
      <c r="D5" s="128">
        <v>351.0</v>
      </c>
      <c r="E5" s="128">
        <v>38.88</v>
      </c>
      <c r="F5" s="128">
        <v>255.0</v>
      </c>
      <c r="G5" s="128">
        <v>74.0</v>
      </c>
      <c r="H5" s="128">
        <v>17.0</v>
      </c>
      <c r="I5" s="128">
        <v>4562.0</v>
      </c>
      <c r="J5" s="128">
        <v>172.9385</v>
      </c>
      <c r="K5" s="128">
        <v>174.0</v>
      </c>
      <c r="L5" s="128">
        <v>61360.0</v>
      </c>
      <c r="M5" s="128">
        <v>5.56</v>
      </c>
    </row>
    <row r="6">
      <c r="A6" s="125" t="s">
        <v>444</v>
      </c>
      <c r="B6" s="136" t="s">
        <v>445</v>
      </c>
      <c r="C6" s="126" t="s">
        <v>436</v>
      </c>
      <c r="D6" s="128">
        <v>530.0</v>
      </c>
      <c r="E6" s="128">
        <v>35.13</v>
      </c>
      <c r="F6" s="128">
        <v>129.0</v>
      </c>
      <c r="G6" s="128">
        <v>48.0</v>
      </c>
      <c r="H6" s="128">
        <v>12.0</v>
      </c>
      <c r="I6" s="128">
        <v>3601.0</v>
      </c>
      <c r="J6" s="128">
        <v>186.2324</v>
      </c>
      <c r="K6" s="128">
        <v>76.0</v>
      </c>
      <c r="L6" s="128">
        <v>50508.0</v>
      </c>
      <c r="M6" s="128">
        <v>5.31</v>
      </c>
    </row>
    <row r="7">
      <c r="A7" s="125" t="s">
        <v>446</v>
      </c>
      <c r="B7" s="136" t="s">
        <v>447</v>
      </c>
      <c r="C7" s="126" t="s">
        <v>436</v>
      </c>
      <c r="D7" s="128">
        <v>582.0</v>
      </c>
      <c r="E7" s="128">
        <v>18.9</v>
      </c>
      <c r="F7" s="128">
        <v>124.0</v>
      </c>
      <c r="G7" s="128">
        <v>50.0</v>
      </c>
      <c r="H7" s="128">
        <v>19.0</v>
      </c>
      <c r="I7" s="128">
        <v>2656.0</v>
      </c>
      <c r="J7" s="128">
        <v>81.1386</v>
      </c>
      <c r="K7" s="128">
        <v>264.0</v>
      </c>
      <c r="L7" s="128">
        <v>28429.0</v>
      </c>
      <c r="M7" s="128">
        <v>3.58</v>
      </c>
    </row>
    <row r="8">
      <c r="A8" s="125" t="s">
        <v>448</v>
      </c>
      <c r="B8" s="136" t="s">
        <v>449</v>
      </c>
      <c r="C8" s="126" t="s">
        <v>436</v>
      </c>
      <c r="D8" s="128">
        <v>915.0</v>
      </c>
      <c r="E8" s="128">
        <v>20.94</v>
      </c>
      <c r="F8" s="128">
        <v>114.0</v>
      </c>
      <c r="G8" s="128">
        <v>42.0</v>
      </c>
      <c r="H8" s="128">
        <v>14.0</v>
      </c>
      <c r="I8" s="128">
        <v>2102.0</v>
      </c>
      <c r="J8" s="128">
        <v>111.8755</v>
      </c>
      <c r="K8" s="128">
        <v>41.0</v>
      </c>
      <c r="L8" s="128">
        <v>31502.0</v>
      </c>
      <c r="M8" s="128">
        <v>4.14</v>
      </c>
    </row>
    <row r="9">
      <c r="A9" s="125" t="s">
        <v>450</v>
      </c>
      <c r="B9" s="136" t="s">
        <v>451</v>
      </c>
      <c r="C9" s="126" t="s">
        <v>436</v>
      </c>
      <c r="D9" s="128">
        <v>93.0</v>
      </c>
      <c r="E9" s="128">
        <v>55.35</v>
      </c>
      <c r="F9" s="128">
        <v>72.0</v>
      </c>
      <c r="G9" s="128">
        <v>7.0</v>
      </c>
      <c r="H9" s="128">
        <v>1.0</v>
      </c>
      <c r="I9" s="128">
        <v>1549.0</v>
      </c>
      <c r="J9" s="128">
        <v>10.6208</v>
      </c>
      <c r="K9" s="128">
        <v>8.0</v>
      </c>
      <c r="L9" s="128">
        <v>3742.0</v>
      </c>
      <c r="M9" s="128">
        <v>5.24</v>
      </c>
    </row>
    <row r="10">
      <c r="A10" s="125" t="s">
        <v>452</v>
      </c>
      <c r="B10" s="136" t="s">
        <v>453</v>
      </c>
      <c r="C10" s="126" t="s">
        <v>436</v>
      </c>
      <c r="D10" s="128">
        <v>80.0</v>
      </c>
      <c r="E10" s="128">
        <v>41.88</v>
      </c>
      <c r="F10" s="128">
        <v>63.0</v>
      </c>
      <c r="G10" s="128">
        <v>5.0</v>
      </c>
      <c r="H10" s="128">
        <v>1.0</v>
      </c>
      <c r="I10" s="128">
        <v>1675.0</v>
      </c>
      <c r="J10" s="128">
        <v>6.9997</v>
      </c>
      <c r="K10" s="128">
        <v>8.0</v>
      </c>
      <c r="L10" s="128">
        <v>2962.0</v>
      </c>
      <c r="M10" s="128">
        <v>4.19</v>
      </c>
    </row>
    <row r="11">
      <c r="A11" s="125" t="s">
        <v>454</v>
      </c>
      <c r="B11" s="136" t="s">
        <v>455</v>
      </c>
      <c r="C11" s="126" t="s">
        <v>436</v>
      </c>
      <c r="D11" s="128">
        <v>81.0</v>
      </c>
      <c r="E11" s="128">
        <v>49.05</v>
      </c>
      <c r="F11" s="128">
        <v>62.0</v>
      </c>
      <c r="G11" s="128">
        <v>8.0</v>
      </c>
      <c r="H11" s="128">
        <v>0.0</v>
      </c>
      <c r="I11" s="128">
        <v>1209.0</v>
      </c>
      <c r="J11" s="128">
        <v>5.2129</v>
      </c>
      <c r="K11" s="128">
        <v>3.0</v>
      </c>
      <c r="L11" s="128">
        <v>2025.0</v>
      </c>
      <c r="M11" s="128">
        <v>4.59</v>
      </c>
    </row>
    <row r="12">
      <c r="A12" s="125" t="s">
        <v>456</v>
      </c>
      <c r="B12" s="136" t="s">
        <v>457</v>
      </c>
      <c r="C12" s="126" t="s">
        <v>436</v>
      </c>
      <c r="D12" s="128">
        <v>61.0</v>
      </c>
      <c r="E12" s="128">
        <v>54.22</v>
      </c>
      <c r="F12" s="128">
        <v>58.0</v>
      </c>
      <c r="G12" s="128">
        <v>3.0</v>
      </c>
      <c r="H12" s="128">
        <v>0.0</v>
      </c>
      <c r="I12" s="128">
        <v>1326.0</v>
      </c>
      <c r="J12" s="128">
        <v>6.543</v>
      </c>
      <c r="K12" s="128">
        <v>11.0</v>
      </c>
      <c r="L12" s="128">
        <v>3695.0</v>
      </c>
      <c r="M12" s="128">
        <v>5.44</v>
      </c>
    </row>
    <row r="13">
      <c r="A13" s="125" t="s">
        <v>458</v>
      </c>
      <c r="B13" s="136" t="s">
        <v>459</v>
      </c>
      <c r="C13" s="126" t="s">
        <v>436</v>
      </c>
      <c r="D13" s="128">
        <v>51.0</v>
      </c>
      <c r="E13" s="128">
        <v>64.95</v>
      </c>
      <c r="F13" s="128">
        <v>57.0</v>
      </c>
      <c r="G13" s="128">
        <v>2.0</v>
      </c>
      <c r="H13" s="128">
        <v>0.0</v>
      </c>
      <c r="I13" s="128">
        <v>1534.0</v>
      </c>
      <c r="J13" s="128">
        <v>6.2142</v>
      </c>
      <c r="K13" s="128">
        <v>12.0</v>
      </c>
      <c r="L13" s="128">
        <v>2599.0</v>
      </c>
      <c r="M13" s="128">
        <v>5.62</v>
      </c>
    </row>
    <row r="14">
      <c r="A14" s="125" t="s">
        <v>460</v>
      </c>
      <c r="B14" s="136" t="s">
        <v>461</v>
      </c>
      <c r="C14" s="126" t="s">
        <v>436</v>
      </c>
      <c r="D14" s="128">
        <v>55.0</v>
      </c>
      <c r="E14" s="128">
        <v>47.3</v>
      </c>
      <c r="F14" s="128">
        <v>56.0</v>
      </c>
      <c r="G14" s="128">
        <v>8.0</v>
      </c>
      <c r="H14" s="128">
        <v>2.0</v>
      </c>
      <c r="I14" s="128">
        <v>1561.0</v>
      </c>
      <c r="J14" s="128">
        <v>6.4077</v>
      </c>
      <c r="K14" s="128">
        <v>14.0</v>
      </c>
      <c r="L14" s="128">
        <v>3115.0</v>
      </c>
      <c r="M14" s="128">
        <v>5.55</v>
      </c>
    </row>
    <row r="15">
      <c r="A15" s="125" t="s">
        <v>462</v>
      </c>
      <c r="B15" s="136" t="s">
        <v>463</v>
      </c>
      <c r="C15" s="126" t="s">
        <v>436</v>
      </c>
      <c r="D15" s="128">
        <v>64.0</v>
      </c>
      <c r="E15" s="128">
        <v>56.94</v>
      </c>
      <c r="F15" s="128">
        <v>56.0</v>
      </c>
      <c r="G15" s="128">
        <v>3.0</v>
      </c>
      <c r="H15" s="128">
        <v>1.0</v>
      </c>
      <c r="I15" s="128">
        <v>1616.0</v>
      </c>
      <c r="J15" s="128">
        <v>7.0136</v>
      </c>
      <c r="K15" s="128">
        <v>7.0</v>
      </c>
      <c r="L15" s="128">
        <v>2878.0</v>
      </c>
      <c r="M15" s="128">
        <v>4.0</v>
      </c>
    </row>
    <row r="16">
      <c r="A16" s="125" t="s">
        <v>464</v>
      </c>
      <c r="B16" s="136" t="s">
        <v>465</v>
      </c>
      <c r="C16" s="126" t="s">
        <v>436</v>
      </c>
      <c r="D16" s="128">
        <v>58.0</v>
      </c>
      <c r="E16" s="128">
        <v>48.94</v>
      </c>
      <c r="F16" s="128">
        <v>55.0</v>
      </c>
      <c r="G16" s="128">
        <v>11.0</v>
      </c>
      <c r="H16" s="128">
        <v>2.0</v>
      </c>
      <c r="I16" s="128">
        <v>1686.0</v>
      </c>
      <c r="J16" s="128">
        <v>6.6197</v>
      </c>
      <c r="K16" s="128">
        <v>10.0</v>
      </c>
      <c r="L16" s="128">
        <v>2404.0</v>
      </c>
      <c r="M16" s="128">
        <v>4.16</v>
      </c>
    </row>
    <row r="17">
      <c r="A17" s="125" t="s">
        <v>466</v>
      </c>
      <c r="B17" s="136" t="s">
        <v>467</v>
      </c>
      <c r="C17" s="126" t="s">
        <v>436</v>
      </c>
      <c r="D17" s="128">
        <v>86.0</v>
      </c>
      <c r="E17" s="128">
        <v>59.41</v>
      </c>
      <c r="F17" s="128">
        <v>44.0</v>
      </c>
      <c r="G17" s="128">
        <v>1.0</v>
      </c>
      <c r="H17" s="128">
        <v>1.0</v>
      </c>
      <c r="I17" s="128">
        <v>1200.0</v>
      </c>
      <c r="J17" s="128">
        <v>9.4053</v>
      </c>
      <c r="K17" s="128">
        <v>7.0</v>
      </c>
      <c r="L17" s="128">
        <v>2944.0</v>
      </c>
      <c r="M17" s="128">
        <v>7.51</v>
      </c>
    </row>
    <row r="18">
      <c r="A18" s="125" t="s">
        <v>468</v>
      </c>
      <c r="B18" s="136" t="s">
        <v>469</v>
      </c>
      <c r="C18" s="126" t="s">
        <v>436</v>
      </c>
      <c r="D18" s="128">
        <v>66.0</v>
      </c>
      <c r="E18" s="128">
        <v>43.25</v>
      </c>
      <c r="F18" s="128">
        <v>43.0</v>
      </c>
      <c r="G18" s="128">
        <v>8.0</v>
      </c>
      <c r="H18" s="128">
        <v>2.0</v>
      </c>
      <c r="I18" s="128">
        <v>958.0</v>
      </c>
      <c r="J18" s="128">
        <v>3.6154</v>
      </c>
      <c r="K18" s="128">
        <v>2.0</v>
      </c>
      <c r="L18" s="128">
        <v>2237.0</v>
      </c>
      <c r="M18" s="128">
        <v>4.74</v>
      </c>
    </row>
    <row r="19">
      <c r="A19" s="125" t="s">
        <v>470</v>
      </c>
      <c r="B19" s="136" t="s">
        <v>471</v>
      </c>
      <c r="C19" s="126" t="s">
        <v>436</v>
      </c>
      <c r="D19" s="128">
        <v>76.0</v>
      </c>
      <c r="E19" s="128">
        <v>78.01</v>
      </c>
      <c r="F19" s="128">
        <v>20.0</v>
      </c>
      <c r="G19" s="128">
        <v>1.0</v>
      </c>
      <c r="H19" s="128">
        <v>0.0</v>
      </c>
      <c r="I19" s="128">
        <v>430.0</v>
      </c>
      <c r="J19" s="128">
        <v>2.7364</v>
      </c>
      <c r="K19" s="128">
        <v>1.0</v>
      </c>
      <c r="L19" s="128">
        <v>1915.0</v>
      </c>
      <c r="M19" s="128">
        <v>3.45</v>
      </c>
    </row>
    <row r="20">
      <c r="A20" s="125" t="s">
        <v>472</v>
      </c>
      <c r="B20" s="136" t="s">
        <v>473</v>
      </c>
      <c r="C20" s="126" t="s">
        <v>436</v>
      </c>
      <c r="D20" s="128">
        <v>58.0</v>
      </c>
      <c r="E20" s="128">
        <v>103.57</v>
      </c>
      <c r="F20" s="128">
        <v>18.0</v>
      </c>
      <c r="G20" s="128">
        <v>1.0</v>
      </c>
      <c r="H20" s="128">
        <v>0.0</v>
      </c>
      <c r="I20" s="128">
        <v>674.0</v>
      </c>
      <c r="J20" s="128">
        <v>3.9176</v>
      </c>
      <c r="K20" s="128">
        <v>1.0</v>
      </c>
      <c r="L20" s="128">
        <v>1949.0</v>
      </c>
      <c r="M20" s="128">
        <v>3.85</v>
      </c>
    </row>
    <row r="21">
      <c r="A21" s="57"/>
    </row>
    <row r="22">
      <c r="A22" s="125" t="s">
        <v>474</v>
      </c>
      <c r="B22" s="137" t="s">
        <v>475</v>
      </c>
      <c r="C22" s="138" t="s">
        <v>433</v>
      </c>
      <c r="D22" s="128">
        <v>630.0</v>
      </c>
      <c r="E22" s="128">
        <v>30.07</v>
      </c>
      <c r="F22" s="128">
        <v>660.0</v>
      </c>
      <c r="G22" s="128">
        <v>293.0</v>
      </c>
      <c r="H22" s="128">
        <v>71.0</v>
      </c>
      <c r="I22" s="128">
        <v>17857.0</v>
      </c>
      <c r="J22" s="128">
        <v>939.7282</v>
      </c>
      <c r="K22" s="128">
        <v>660.0</v>
      </c>
      <c r="L22" s="128">
        <v>187278.0</v>
      </c>
      <c r="M22" s="128">
        <v>6.77</v>
      </c>
    </row>
    <row r="23">
      <c r="A23" s="125" t="s">
        <v>476</v>
      </c>
      <c r="B23" s="137" t="s">
        <v>477</v>
      </c>
      <c r="C23" s="138" t="s">
        <v>433</v>
      </c>
      <c r="D23" s="128">
        <v>647.0</v>
      </c>
      <c r="E23" s="128">
        <v>28.84</v>
      </c>
      <c r="F23" s="128">
        <v>444.0</v>
      </c>
      <c r="G23" s="128">
        <v>272.0</v>
      </c>
      <c r="H23" s="128">
        <v>31.0</v>
      </c>
      <c r="I23" s="128">
        <v>8461.0</v>
      </c>
      <c r="J23" s="128">
        <v>438.5717</v>
      </c>
      <c r="K23" s="128">
        <v>213.0</v>
      </c>
      <c r="L23" s="128">
        <v>119826.0</v>
      </c>
      <c r="M23" s="128">
        <v>4.71</v>
      </c>
    </row>
    <row r="24">
      <c r="A24" s="125" t="s">
        <v>478</v>
      </c>
      <c r="B24" s="137" t="s">
        <v>479</v>
      </c>
      <c r="C24" s="138" t="s">
        <v>433</v>
      </c>
      <c r="D24" s="128">
        <v>86.0</v>
      </c>
      <c r="E24" s="128">
        <v>65.71</v>
      </c>
      <c r="F24" s="128">
        <v>207.0</v>
      </c>
      <c r="G24" s="128">
        <v>27.0</v>
      </c>
      <c r="H24" s="128">
        <v>8.0</v>
      </c>
      <c r="I24" s="128">
        <v>3836.0</v>
      </c>
      <c r="J24" s="128">
        <v>32.9166</v>
      </c>
      <c r="K24" s="128">
        <v>17.0</v>
      </c>
      <c r="L24" s="128">
        <v>13130.0</v>
      </c>
      <c r="M24" s="128">
        <v>7.31</v>
      </c>
    </row>
    <row r="25">
      <c r="A25" s="125" t="s">
        <v>437</v>
      </c>
      <c r="B25" s="137" t="s">
        <v>438</v>
      </c>
      <c r="C25" s="138" t="s">
        <v>433</v>
      </c>
      <c r="D25" s="128">
        <v>623.0</v>
      </c>
      <c r="E25" s="128">
        <v>33.4</v>
      </c>
      <c r="F25" s="128">
        <v>199.0</v>
      </c>
      <c r="G25" s="128">
        <v>147.0</v>
      </c>
      <c r="H25" s="128">
        <v>6.0</v>
      </c>
      <c r="I25" s="128">
        <v>8396.0</v>
      </c>
      <c r="J25" s="128">
        <v>485.2371</v>
      </c>
      <c r="K25" s="128">
        <v>281.0</v>
      </c>
      <c r="L25" s="128">
        <v>96113.0</v>
      </c>
      <c r="M25" s="128">
        <v>6.17</v>
      </c>
    </row>
    <row r="26">
      <c r="A26" s="125" t="s">
        <v>480</v>
      </c>
      <c r="B26" s="137" t="s">
        <v>481</v>
      </c>
      <c r="C26" s="138" t="s">
        <v>433</v>
      </c>
      <c r="D26" s="128">
        <v>415.0</v>
      </c>
      <c r="E26" s="128">
        <v>34.9</v>
      </c>
      <c r="F26" s="128">
        <v>177.0</v>
      </c>
      <c r="G26" s="128">
        <v>74.0</v>
      </c>
      <c r="H26" s="128">
        <v>10.0</v>
      </c>
      <c r="I26" s="128">
        <v>4697.0</v>
      </c>
      <c r="J26" s="128">
        <v>188.9583</v>
      </c>
      <c r="K26" s="128">
        <v>89.0</v>
      </c>
      <c r="L26" s="128">
        <v>39309.0</v>
      </c>
      <c r="M26" s="128">
        <v>6.19</v>
      </c>
    </row>
    <row r="27">
      <c r="A27" s="125" t="s">
        <v>482</v>
      </c>
      <c r="B27" s="137" t="s">
        <v>483</v>
      </c>
      <c r="C27" s="138" t="s">
        <v>433</v>
      </c>
      <c r="D27" s="128">
        <v>586.0</v>
      </c>
      <c r="E27" s="128">
        <v>26.05</v>
      </c>
      <c r="F27" s="128">
        <v>177.0</v>
      </c>
      <c r="G27" s="128">
        <v>62.0</v>
      </c>
      <c r="H27" s="128">
        <v>17.0</v>
      </c>
      <c r="I27" s="128">
        <v>4140.0</v>
      </c>
      <c r="J27" s="128">
        <v>175.5573</v>
      </c>
      <c r="K27" s="128">
        <v>107.0</v>
      </c>
      <c r="L27" s="128">
        <v>29560.0</v>
      </c>
      <c r="M27" s="128">
        <v>6.3</v>
      </c>
    </row>
    <row r="28">
      <c r="A28" s="125" t="s">
        <v>484</v>
      </c>
      <c r="B28" s="137" t="s">
        <v>485</v>
      </c>
      <c r="C28" s="138" t="s">
        <v>433</v>
      </c>
      <c r="D28" s="128">
        <v>488.0</v>
      </c>
      <c r="E28" s="128">
        <v>28.55</v>
      </c>
      <c r="F28" s="128">
        <v>146.0</v>
      </c>
      <c r="G28" s="128">
        <v>49.0</v>
      </c>
      <c r="H28" s="128">
        <v>19.0</v>
      </c>
      <c r="I28" s="128">
        <v>3131.0</v>
      </c>
      <c r="J28" s="128">
        <v>121.1938</v>
      </c>
      <c r="K28" s="128">
        <v>59.0</v>
      </c>
      <c r="L28" s="128">
        <v>45368.0</v>
      </c>
      <c r="M28" s="128">
        <v>4.08</v>
      </c>
    </row>
    <row r="29">
      <c r="A29" s="125" t="s">
        <v>486</v>
      </c>
      <c r="B29" s="137" t="s">
        <v>487</v>
      </c>
      <c r="C29" s="138" t="s">
        <v>433</v>
      </c>
      <c r="D29" s="128">
        <v>568.0</v>
      </c>
      <c r="E29" s="128">
        <v>33.17</v>
      </c>
      <c r="F29" s="128">
        <v>128.0</v>
      </c>
      <c r="G29" s="128">
        <v>28.0</v>
      </c>
      <c r="H29" s="128">
        <v>18.0</v>
      </c>
      <c r="I29" s="128">
        <v>1899.0</v>
      </c>
      <c r="J29" s="128">
        <v>99.393</v>
      </c>
      <c r="K29" s="128">
        <v>47.0</v>
      </c>
      <c r="L29" s="128">
        <v>35165.0</v>
      </c>
      <c r="M29" s="128">
        <v>4.06</v>
      </c>
    </row>
    <row r="30">
      <c r="A30" s="125" t="s">
        <v>488</v>
      </c>
      <c r="B30" s="137" t="s">
        <v>489</v>
      </c>
      <c r="C30" s="138" t="s">
        <v>433</v>
      </c>
      <c r="D30" s="128">
        <v>68.0</v>
      </c>
      <c r="E30" s="128">
        <v>55.18</v>
      </c>
      <c r="F30" s="128">
        <v>127.0</v>
      </c>
      <c r="G30" s="128">
        <v>36.0</v>
      </c>
      <c r="H30" s="128">
        <v>0.0</v>
      </c>
      <c r="I30" s="128">
        <v>2053.0</v>
      </c>
      <c r="J30" s="128">
        <v>11.6796</v>
      </c>
      <c r="K30" s="128">
        <v>12.0</v>
      </c>
      <c r="L30" s="128">
        <v>5417.0</v>
      </c>
      <c r="M30" s="128">
        <v>6.28</v>
      </c>
    </row>
    <row r="31">
      <c r="A31" s="125" t="s">
        <v>490</v>
      </c>
      <c r="B31" s="137" t="s">
        <v>491</v>
      </c>
      <c r="C31" s="138" t="s">
        <v>433</v>
      </c>
      <c r="D31" s="128">
        <v>73.0</v>
      </c>
      <c r="E31" s="128">
        <v>57.33</v>
      </c>
      <c r="F31" s="128">
        <v>125.0</v>
      </c>
      <c r="G31" s="128">
        <v>4.0</v>
      </c>
      <c r="H31" s="128">
        <v>4.0</v>
      </c>
      <c r="I31" s="128">
        <v>2227.0</v>
      </c>
      <c r="J31" s="128">
        <v>15.2152</v>
      </c>
      <c r="K31" s="128">
        <v>8.0</v>
      </c>
      <c r="L31" s="128">
        <v>7597.0</v>
      </c>
      <c r="M31" s="128">
        <v>7.61</v>
      </c>
    </row>
    <row r="32">
      <c r="A32" s="125" t="s">
        <v>492</v>
      </c>
      <c r="B32" s="137" t="s">
        <v>485</v>
      </c>
      <c r="C32" s="138" t="s">
        <v>433</v>
      </c>
      <c r="D32" s="128">
        <v>49.0</v>
      </c>
      <c r="E32" s="128">
        <v>66.38</v>
      </c>
      <c r="F32" s="128">
        <v>117.0</v>
      </c>
      <c r="G32" s="128">
        <v>25.0</v>
      </c>
      <c r="H32" s="128">
        <v>3.0</v>
      </c>
      <c r="I32" s="128">
        <v>1972.0</v>
      </c>
      <c r="J32" s="128">
        <v>9.8022</v>
      </c>
      <c r="K32" s="128">
        <v>6.0</v>
      </c>
      <c r="L32" s="128">
        <v>5310.0</v>
      </c>
      <c r="M32" s="128">
        <v>6.84</v>
      </c>
    </row>
    <row r="33">
      <c r="A33" s="125" t="s">
        <v>493</v>
      </c>
      <c r="B33" s="137" t="s">
        <v>494</v>
      </c>
      <c r="C33" s="138" t="s">
        <v>433</v>
      </c>
      <c r="D33" s="128">
        <v>60.0</v>
      </c>
      <c r="E33" s="128">
        <v>45.64</v>
      </c>
      <c r="F33" s="128">
        <v>93.0</v>
      </c>
      <c r="G33" s="128">
        <v>3.0</v>
      </c>
      <c r="H33" s="128">
        <v>1.0</v>
      </c>
      <c r="I33" s="128">
        <v>1962.0</v>
      </c>
      <c r="J33" s="128">
        <v>7.9534</v>
      </c>
      <c r="K33" s="128">
        <v>1.0</v>
      </c>
      <c r="L33" s="128">
        <v>5833.0</v>
      </c>
      <c r="M33" s="128">
        <v>6.96</v>
      </c>
    </row>
    <row r="34">
      <c r="A34" s="125" t="s">
        <v>495</v>
      </c>
      <c r="B34" s="137" t="s">
        <v>496</v>
      </c>
      <c r="C34" s="138" t="s">
        <v>433</v>
      </c>
      <c r="D34" s="128">
        <v>63.0</v>
      </c>
      <c r="E34" s="128">
        <v>69.76</v>
      </c>
      <c r="F34" s="128">
        <v>87.0</v>
      </c>
      <c r="G34" s="128">
        <v>7.0</v>
      </c>
      <c r="H34" s="128">
        <v>3.0</v>
      </c>
      <c r="I34" s="128">
        <v>1766.0</v>
      </c>
      <c r="J34" s="128">
        <v>11.0544</v>
      </c>
      <c r="K34" s="128">
        <v>10.0</v>
      </c>
      <c r="L34" s="128">
        <v>4333.0</v>
      </c>
      <c r="M34" s="128">
        <v>5.22</v>
      </c>
    </row>
    <row r="35">
      <c r="A35" s="125" t="s">
        <v>497</v>
      </c>
      <c r="B35" s="137" t="s">
        <v>498</v>
      </c>
      <c r="C35" s="138" t="s">
        <v>433</v>
      </c>
      <c r="D35" s="128">
        <v>48.0</v>
      </c>
      <c r="E35" s="128">
        <v>65.25</v>
      </c>
      <c r="F35" s="128">
        <v>84.0</v>
      </c>
      <c r="G35" s="128">
        <v>6.0</v>
      </c>
      <c r="H35" s="128">
        <v>0.0</v>
      </c>
      <c r="I35" s="128">
        <v>1429.0</v>
      </c>
      <c r="J35" s="128">
        <v>7.6406</v>
      </c>
      <c r="K35" s="128">
        <v>4.0</v>
      </c>
      <c r="L35" s="128">
        <v>7025.0</v>
      </c>
      <c r="M35" s="128">
        <v>5.99</v>
      </c>
    </row>
    <row r="36">
      <c r="A36" s="125" t="s">
        <v>499</v>
      </c>
      <c r="B36" s="137" t="s">
        <v>500</v>
      </c>
      <c r="C36" s="138" t="s">
        <v>433</v>
      </c>
      <c r="D36" s="128">
        <v>105.0</v>
      </c>
      <c r="E36" s="128">
        <v>52.71</v>
      </c>
      <c r="F36" s="128">
        <v>84.0</v>
      </c>
      <c r="G36" s="128">
        <v>5.0</v>
      </c>
      <c r="H36" s="128">
        <v>2.0</v>
      </c>
      <c r="I36" s="128">
        <v>1508.0</v>
      </c>
      <c r="J36" s="128">
        <v>12.1435</v>
      </c>
      <c r="K36" s="128">
        <v>4.0</v>
      </c>
      <c r="L36" s="128">
        <v>6278.0</v>
      </c>
      <c r="M36" s="128">
        <v>4.0</v>
      </c>
    </row>
    <row r="37">
      <c r="A37" s="125" t="s">
        <v>501</v>
      </c>
      <c r="B37" s="137" t="s">
        <v>502</v>
      </c>
      <c r="C37" s="138" t="s">
        <v>433</v>
      </c>
      <c r="D37" s="128">
        <v>60.0</v>
      </c>
      <c r="E37" s="128">
        <v>57.88</v>
      </c>
      <c r="F37" s="128">
        <v>79.0</v>
      </c>
      <c r="G37" s="128">
        <v>6.0</v>
      </c>
      <c r="H37" s="128">
        <v>3.0</v>
      </c>
      <c r="I37" s="128">
        <v>1237.0</v>
      </c>
      <c r="J37" s="128">
        <v>7.7561</v>
      </c>
      <c r="K37" s="128">
        <v>2.0</v>
      </c>
      <c r="L37" s="128">
        <v>6625.0</v>
      </c>
      <c r="M37" s="128">
        <v>5.89</v>
      </c>
    </row>
    <row r="38">
      <c r="A38" s="125" t="s">
        <v>503</v>
      </c>
      <c r="B38" s="137" t="s">
        <v>500</v>
      </c>
      <c r="C38" s="138" t="s">
        <v>433</v>
      </c>
      <c r="D38" s="128">
        <v>444.0</v>
      </c>
      <c r="E38" s="128">
        <v>29.25</v>
      </c>
      <c r="F38" s="128">
        <v>76.0</v>
      </c>
      <c r="G38" s="128">
        <v>38.0</v>
      </c>
      <c r="H38" s="128">
        <v>5.0</v>
      </c>
      <c r="I38" s="128">
        <v>2312.0</v>
      </c>
      <c r="J38" s="128">
        <v>83.402</v>
      </c>
      <c r="K38" s="128">
        <v>35.0</v>
      </c>
      <c r="L38" s="128">
        <v>32451.0</v>
      </c>
      <c r="M38" s="128">
        <v>3.4</v>
      </c>
    </row>
    <row r="39">
      <c r="A39" s="125" t="s">
        <v>504</v>
      </c>
      <c r="B39" s="137" t="s">
        <v>505</v>
      </c>
      <c r="C39" s="138" t="s">
        <v>433</v>
      </c>
      <c r="D39" s="128">
        <v>60.0</v>
      </c>
      <c r="E39" s="128">
        <v>51.95</v>
      </c>
      <c r="F39" s="128">
        <v>76.0</v>
      </c>
      <c r="G39" s="128">
        <v>4.0</v>
      </c>
      <c r="H39" s="128">
        <v>0.0</v>
      </c>
      <c r="I39" s="128">
        <v>1888.0</v>
      </c>
      <c r="J39" s="128">
        <v>8.2</v>
      </c>
      <c r="K39" s="128">
        <v>6.0</v>
      </c>
      <c r="L39" s="128">
        <v>4511.0</v>
      </c>
      <c r="M39" s="128">
        <v>5.08</v>
      </c>
    </row>
    <row r="40">
      <c r="A40" s="125" t="s">
        <v>506</v>
      </c>
      <c r="B40" s="137" t="s">
        <v>507</v>
      </c>
      <c r="C40" s="138" t="s">
        <v>433</v>
      </c>
      <c r="D40" s="128">
        <v>75.0</v>
      </c>
      <c r="E40" s="128">
        <v>58.81</v>
      </c>
      <c r="F40" s="128">
        <v>67.0</v>
      </c>
      <c r="G40" s="128">
        <v>4.0</v>
      </c>
      <c r="H40" s="128">
        <v>12.0</v>
      </c>
      <c r="I40" s="128">
        <v>1243.0</v>
      </c>
      <c r="J40" s="128">
        <v>9.08</v>
      </c>
      <c r="K40" s="128">
        <v>3.0</v>
      </c>
      <c r="L40" s="128">
        <v>5412.0</v>
      </c>
      <c r="M40" s="128">
        <v>7.45</v>
      </c>
    </row>
    <row r="41">
      <c r="A41" s="125" t="s">
        <v>508</v>
      </c>
      <c r="B41" s="137" t="s">
        <v>509</v>
      </c>
      <c r="C41" s="138" t="s">
        <v>433</v>
      </c>
      <c r="D41" s="128">
        <v>98.0</v>
      </c>
      <c r="E41" s="128">
        <v>52.24</v>
      </c>
      <c r="F41" s="128">
        <v>63.0</v>
      </c>
      <c r="G41" s="128">
        <v>2.0</v>
      </c>
      <c r="H41" s="128">
        <v>0.0</v>
      </c>
      <c r="I41" s="128">
        <v>1299.0</v>
      </c>
      <c r="J41" s="128">
        <v>8.8126</v>
      </c>
      <c r="K41" s="128">
        <v>4.0</v>
      </c>
      <c r="L41" s="128">
        <v>4428.0</v>
      </c>
      <c r="M41" s="128">
        <v>4.38</v>
      </c>
    </row>
    <row r="42">
      <c r="A42" s="125" t="s">
        <v>510</v>
      </c>
      <c r="B42" s="137" t="s">
        <v>511</v>
      </c>
      <c r="C42" s="138" t="s">
        <v>433</v>
      </c>
      <c r="D42" s="128">
        <v>47.0</v>
      </c>
      <c r="E42" s="128">
        <v>70.74</v>
      </c>
      <c r="F42" s="128">
        <v>63.0</v>
      </c>
      <c r="G42" s="128">
        <v>8.0</v>
      </c>
      <c r="H42" s="128">
        <v>5.0</v>
      </c>
      <c r="I42" s="128">
        <v>1281.0</v>
      </c>
      <c r="J42" s="128">
        <v>7.3168</v>
      </c>
      <c r="K42" s="128">
        <v>2.0</v>
      </c>
      <c r="L42" s="128">
        <v>6983.0</v>
      </c>
      <c r="M42" s="128">
        <v>7.03</v>
      </c>
    </row>
    <row r="43">
      <c r="A43" s="125" t="s">
        <v>512</v>
      </c>
      <c r="B43" s="137" t="s">
        <v>513</v>
      </c>
      <c r="C43" s="138" t="s">
        <v>433</v>
      </c>
      <c r="D43" s="128">
        <v>50.0</v>
      </c>
      <c r="E43" s="128">
        <v>58.06</v>
      </c>
      <c r="F43" s="128">
        <v>59.0</v>
      </c>
      <c r="G43" s="128">
        <v>1.0</v>
      </c>
      <c r="H43" s="128">
        <v>1.0</v>
      </c>
      <c r="I43" s="128">
        <v>1397.0</v>
      </c>
      <c r="J43" s="128">
        <v>5.1863</v>
      </c>
      <c r="K43" s="128">
        <v>3.0</v>
      </c>
      <c r="L43" s="128">
        <v>4320.0</v>
      </c>
      <c r="M43" s="128">
        <v>4.77</v>
      </c>
    </row>
    <row r="44">
      <c r="A44" s="125" t="s">
        <v>514</v>
      </c>
      <c r="B44" s="137" t="s">
        <v>515</v>
      </c>
      <c r="C44" s="138" t="s">
        <v>433</v>
      </c>
      <c r="D44" s="128">
        <v>45.0</v>
      </c>
      <c r="E44" s="128">
        <v>65.71</v>
      </c>
      <c r="F44" s="128">
        <v>39.0</v>
      </c>
      <c r="G44" s="128">
        <v>4.0</v>
      </c>
      <c r="H44" s="128">
        <v>0.0</v>
      </c>
      <c r="I44" s="128">
        <v>705.0</v>
      </c>
      <c r="J44" s="128">
        <v>3.5918</v>
      </c>
      <c r="K44" s="128">
        <v>1.0</v>
      </c>
      <c r="L44" s="128">
        <v>2913.0</v>
      </c>
      <c r="M44" s="128">
        <v>7.62</v>
      </c>
    </row>
    <row r="45">
      <c r="A45" s="125" t="s">
        <v>444</v>
      </c>
      <c r="B45" s="137" t="s">
        <v>445</v>
      </c>
      <c r="C45" s="138" t="s">
        <v>433</v>
      </c>
      <c r="D45" s="128">
        <v>530.0</v>
      </c>
      <c r="E45" s="128">
        <v>34.13</v>
      </c>
      <c r="F45" s="128">
        <v>37.0</v>
      </c>
      <c r="G45" s="128">
        <v>16.0</v>
      </c>
      <c r="H45" s="128">
        <v>3.0</v>
      </c>
      <c r="I45" s="128">
        <v>1416.0</v>
      </c>
      <c r="J45" s="128">
        <v>71.1527</v>
      </c>
      <c r="K45" s="128">
        <v>28.0</v>
      </c>
      <c r="L45" s="128">
        <v>16341.0</v>
      </c>
      <c r="M45" s="128">
        <v>3.67</v>
      </c>
    </row>
    <row r="46">
      <c r="A46" s="125" t="s">
        <v>440</v>
      </c>
      <c r="B46" s="137" t="s">
        <v>441</v>
      </c>
      <c r="C46" s="138" t="s">
        <v>433</v>
      </c>
      <c r="D46" s="128">
        <v>503.0</v>
      </c>
      <c r="E46" s="128">
        <v>46.51</v>
      </c>
      <c r="F46" s="128">
        <v>26.0</v>
      </c>
      <c r="G46" s="128">
        <v>13.0</v>
      </c>
      <c r="H46" s="128">
        <v>1.0</v>
      </c>
      <c r="I46" s="128">
        <v>672.0</v>
      </c>
      <c r="J46" s="128">
        <v>43.674</v>
      </c>
      <c r="K46" s="128">
        <v>13.0</v>
      </c>
      <c r="L46" s="128">
        <v>10271.0</v>
      </c>
      <c r="M46" s="128">
        <v>4.44</v>
      </c>
    </row>
    <row r="47">
      <c r="A47" s="125" t="s">
        <v>516</v>
      </c>
      <c r="B47" s="137" t="s">
        <v>517</v>
      </c>
      <c r="C47" s="138" t="s">
        <v>433</v>
      </c>
      <c r="D47" s="128">
        <v>18.0</v>
      </c>
      <c r="E47" s="128">
        <v>81.91</v>
      </c>
      <c r="F47" s="128">
        <v>23.0</v>
      </c>
      <c r="G47" s="128">
        <v>2.0</v>
      </c>
      <c r="H47" s="128">
        <v>0.0</v>
      </c>
      <c r="I47" s="128">
        <v>1054.0</v>
      </c>
      <c r="J47" s="128">
        <v>1.9544</v>
      </c>
      <c r="K47" s="128">
        <v>2.0</v>
      </c>
      <c r="L47" s="128">
        <v>2366.0</v>
      </c>
      <c r="M47" s="128">
        <v>5.45</v>
      </c>
    </row>
    <row r="48">
      <c r="A48" s="125" t="s">
        <v>466</v>
      </c>
      <c r="B48" s="137" t="s">
        <v>467</v>
      </c>
      <c r="C48" s="138" t="s">
        <v>433</v>
      </c>
      <c r="D48" s="128">
        <v>86.0</v>
      </c>
      <c r="E48" s="128">
        <v>54.35</v>
      </c>
      <c r="F48" s="128">
        <v>22.0</v>
      </c>
      <c r="G48" s="128">
        <v>1.0</v>
      </c>
      <c r="H48" s="128">
        <v>2.0</v>
      </c>
      <c r="I48" s="128">
        <v>261.0</v>
      </c>
      <c r="J48" s="128">
        <v>2.0192</v>
      </c>
      <c r="K48" s="128">
        <v>0.0</v>
      </c>
      <c r="L48" s="128">
        <v>2437.0</v>
      </c>
      <c r="M48" s="128">
        <v>2.75</v>
      </c>
    </row>
    <row r="49">
      <c r="A49" s="125" t="s">
        <v>442</v>
      </c>
      <c r="B49" s="137" t="s">
        <v>443</v>
      </c>
      <c r="C49" s="138" t="s">
        <v>433</v>
      </c>
      <c r="D49" s="128">
        <v>351.0</v>
      </c>
      <c r="E49" s="128">
        <v>46.05</v>
      </c>
      <c r="F49" s="128">
        <v>20.0</v>
      </c>
      <c r="G49" s="128">
        <v>15.0</v>
      </c>
      <c r="H49" s="128">
        <v>1.0</v>
      </c>
      <c r="I49" s="128">
        <v>447.0</v>
      </c>
      <c r="J49" s="128">
        <v>20.0685</v>
      </c>
      <c r="K49" s="128">
        <v>8.0</v>
      </c>
      <c r="L49" s="128">
        <v>7768.0</v>
      </c>
      <c r="M49" s="128">
        <v>3.81</v>
      </c>
    </row>
    <row r="50">
      <c r="A50" s="125" t="s">
        <v>448</v>
      </c>
      <c r="B50" s="137" t="s">
        <v>449</v>
      </c>
      <c r="C50" s="138" t="s">
        <v>433</v>
      </c>
      <c r="D50" s="128">
        <v>915.0</v>
      </c>
      <c r="E50" s="128">
        <v>25.79</v>
      </c>
      <c r="F50" s="128">
        <v>13.0</v>
      </c>
      <c r="G50" s="128">
        <v>7.0</v>
      </c>
      <c r="H50" s="128">
        <v>0.0</v>
      </c>
      <c r="I50" s="128">
        <v>316.0</v>
      </c>
      <c r="J50" s="128">
        <v>20.7114</v>
      </c>
      <c r="K50" s="128">
        <v>4.0</v>
      </c>
      <c r="L50" s="128">
        <v>7474.0</v>
      </c>
      <c r="M50" s="128">
        <v>2.17</v>
      </c>
    </row>
    <row r="51">
      <c r="A51" s="125" t="s">
        <v>468</v>
      </c>
      <c r="B51" s="137" t="s">
        <v>469</v>
      </c>
      <c r="C51" s="138" t="s">
        <v>433</v>
      </c>
      <c r="D51" s="128">
        <v>66.0</v>
      </c>
      <c r="E51" s="128">
        <v>46.93</v>
      </c>
      <c r="F51" s="128">
        <v>9.0</v>
      </c>
      <c r="G51" s="128">
        <v>0.0</v>
      </c>
      <c r="H51" s="128">
        <v>0.0</v>
      </c>
      <c r="I51" s="128">
        <v>126.0</v>
      </c>
      <c r="J51" s="128">
        <v>0.6383</v>
      </c>
      <c r="K51" s="128">
        <v>0.0</v>
      </c>
      <c r="L51" s="128">
        <v>1293.0</v>
      </c>
      <c r="M51" s="128">
        <v>1.24</v>
      </c>
    </row>
    <row r="52">
      <c r="A52" s="125" t="s">
        <v>450</v>
      </c>
      <c r="B52" s="137" t="s">
        <v>451</v>
      </c>
      <c r="C52" s="138" t="s">
        <v>433</v>
      </c>
      <c r="D52" s="128">
        <v>93.0</v>
      </c>
      <c r="E52" s="128">
        <v>49.49</v>
      </c>
      <c r="F52" s="128">
        <v>6.0</v>
      </c>
      <c r="G52" s="128">
        <v>0.0</v>
      </c>
      <c r="H52" s="128">
        <v>0.0</v>
      </c>
      <c r="I52" s="128">
        <v>64.0</v>
      </c>
      <c r="J52" s="128">
        <v>0.3838</v>
      </c>
      <c r="K52" s="128">
        <v>0.0</v>
      </c>
      <c r="L52" s="128">
        <v>861.0</v>
      </c>
      <c r="M52" s="128">
        <v>1.74</v>
      </c>
    </row>
    <row r="53">
      <c r="A53" s="125" t="s">
        <v>460</v>
      </c>
      <c r="B53" s="137" t="s">
        <v>461</v>
      </c>
      <c r="C53" s="138" t="s">
        <v>433</v>
      </c>
      <c r="D53" s="128">
        <v>55.0</v>
      </c>
      <c r="E53" s="128">
        <v>58.69</v>
      </c>
      <c r="F53" s="128">
        <v>5.0</v>
      </c>
      <c r="G53" s="128">
        <v>2.0</v>
      </c>
      <c r="H53" s="128">
        <v>0.0</v>
      </c>
      <c r="I53" s="128">
        <v>68.0</v>
      </c>
      <c r="J53" s="128">
        <v>0.4707</v>
      </c>
      <c r="K53" s="128">
        <v>0.0</v>
      </c>
      <c r="L53" s="128">
        <v>801.0</v>
      </c>
      <c r="M53" s="128">
        <v>4.74</v>
      </c>
    </row>
    <row r="54">
      <c r="A54" s="125" t="s">
        <v>446</v>
      </c>
      <c r="B54" s="137" t="s">
        <v>447</v>
      </c>
      <c r="C54" s="138" t="s">
        <v>433</v>
      </c>
      <c r="D54" s="128">
        <v>582.0</v>
      </c>
      <c r="E54" s="128">
        <v>33.13</v>
      </c>
      <c r="F54" s="128">
        <v>4.0</v>
      </c>
      <c r="G54" s="128">
        <v>0.0</v>
      </c>
      <c r="H54" s="128">
        <v>0.0</v>
      </c>
      <c r="I54" s="128">
        <v>138.0</v>
      </c>
      <c r="J54" s="128">
        <v>7.3902</v>
      </c>
      <c r="K54" s="128">
        <v>3.0</v>
      </c>
      <c r="L54" s="128">
        <v>1240.0</v>
      </c>
      <c r="M54" s="128">
        <v>6.53</v>
      </c>
    </row>
    <row r="55">
      <c r="A55" s="125" t="s">
        <v>458</v>
      </c>
      <c r="B55" s="137" t="s">
        <v>459</v>
      </c>
      <c r="C55" s="138" t="s">
        <v>433</v>
      </c>
      <c r="D55" s="128">
        <v>51.0</v>
      </c>
      <c r="E55" s="128">
        <v>61.79</v>
      </c>
      <c r="F55" s="128">
        <v>3.0</v>
      </c>
      <c r="G55" s="128">
        <v>0.0</v>
      </c>
      <c r="H55" s="128">
        <v>0.0</v>
      </c>
      <c r="I55" s="128">
        <v>70.0</v>
      </c>
      <c r="J55" s="128">
        <v>0.4445</v>
      </c>
      <c r="K55" s="128">
        <v>0.0</v>
      </c>
      <c r="L55" s="128">
        <v>1320.0</v>
      </c>
      <c r="M55" s="128">
        <v>2.42</v>
      </c>
    </row>
    <row r="56">
      <c r="A56" s="125" t="s">
        <v>456</v>
      </c>
      <c r="B56" s="137" t="s">
        <v>457</v>
      </c>
      <c r="C56" s="138" t="s">
        <v>433</v>
      </c>
      <c r="D56" s="128">
        <v>61.0</v>
      </c>
      <c r="E56" s="128">
        <v>60.19</v>
      </c>
      <c r="F56" s="128">
        <v>3.0</v>
      </c>
      <c r="G56" s="128">
        <v>0.0</v>
      </c>
      <c r="H56" s="128">
        <v>0.0</v>
      </c>
      <c r="I56" s="128">
        <v>41.0</v>
      </c>
      <c r="J56" s="128">
        <v>0.2103</v>
      </c>
      <c r="K56" s="128">
        <v>0.0</v>
      </c>
      <c r="L56" s="128">
        <v>1002.0</v>
      </c>
      <c r="M56" s="128">
        <v>0.6</v>
      </c>
    </row>
    <row r="57">
      <c r="A57" s="125" t="s">
        <v>470</v>
      </c>
      <c r="B57" s="137" t="s">
        <v>471</v>
      </c>
      <c r="C57" s="138" t="s">
        <v>433</v>
      </c>
      <c r="D57" s="128">
        <v>76.0</v>
      </c>
      <c r="E57" s="128">
        <v>59.57</v>
      </c>
      <c r="F57" s="128">
        <v>3.0</v>
      </c>
      <c r="G57" s="128">
        <v>0.0</v>
      </c>
      <c r="H57" s="128">
        <v>0.0</v>
      </c>
      <c r="I57" s="128">
        <v>31.0</v>
      </c>
      <c r="J57" s="128">
        <v>0.1563</v>
      </c>
      <c r="K57" s="128">
        <v>0.0</v>
      </c>
      <c r="L57" s="128">
        <v>366.0</v>
      </c>
      <c r="M57" s="128">
        <v>1.64</v>
      </c>
    </row>
    <row r="58">
      <c r="A58" s="125" t="s">
        <v>452</v>
      </c>
      <c r="B58" s="137" t="s">
        <v>453</v>
      </c>
      <c r="C58" s="138" t="s">
        <v>433</v>
      </c>
      <c r="D58" s="128">
        <v>80.0</v>
      </c>
      <c r="E58" s="128">
        <v>90.06</v>
      </c>
      <c r="F58" s="128">
        <v>2.0</v>
      </c>
      <c r="G58" s="128">
        <v>0.0</v>
      </c>
      <c r="H58" s="128">
        <v>0.0</v>
      </c>
      <c r="I58" s="128">
        <v>36.0</v>
      </c>
      <c r="J58" s="128">
        <v>0.328</v>
      </c>
      <c r="K58" s="128">
        <v>0.0</v>
      </c>
      <c r="L58" s="128">
        <v>740.0</v>
      </c>
      <c r="M58" s="128">
        <v>0.95</v>
      </c>
    </row>
    <row r="59">
      <c r="A59" s="125" t="s">
        <v>472</v>
      </c>
      <c r="B59" s="137" t="s">
        <v>473</v>
      </c>
      <c r="C59" s="138" t="s">
        <v>433</v>
      </c>
      <c r="D59" s="128">
        <v>58.0</v>
      </c>
      <c r="E59" s="128">
        <v>46.3</v>
      </c>
      <c r="F59" s="128">
        <v>2.0</v>
      </c>
      <c r="G59" s="128">
        <v>0.0</v>
      </c>
      <c r="H59" s="128">
        <v>0.0</v>
      </c>
      <c r="I59" s="128">
        <v>42.0</v>
      </c>
      <c r="J59" s="128">
        <v>0.2207</v>
      </c>
      <c r="K59" s="128">
        <v>0.0</v>
      </c>
      <c r="L59" s="128">
        <v>387.0</v>
      </c>
      <c r="M59" s="128">
        <v>4.13</v>
      </c>
    </row>
    <row r="60">
      <c r="A60" s="125" t="s">
        <v>464</v>
      </c>
      <c r="B60" s="137" t="s">
        <v>465</v>
      </c>
      <c r="C60" s="138" t="s">
        <v>433</v>
      </c>
      <c r="D60" s="128">
        <v>58.0</v>
      </c>
      <c r="E60" s="128">
        <v>54.42</v>
      </c>
      <c r="F60" s="128">
        <v>2.0</v>
      </c>
      <c r="G60" s="128">
        <v>0.0</v>
      </c>
      <c r="H60" s="128">
        <v>0.0</v>
      </c>
      <c r="I60" s="128">
        <v>50.0</v>
      </c>
      <c r="J60" s="128">
        <v>0.3307</v>
      </c>
      <c r="K60" s="128">
        <v>0.0</v>
      </c>
      <c r="L60" s="128">
        <v>578.0</v>
      </c>
      <c r="M60" s="128">
        <v>3.81</v>
      </c>
    </row>
    <row r="61">
      <c r="A61" s="125" t="s">
        <v>454</v>
      </c>
      <c r="B61" s="137" t="s">
        <v>455</v>
      </c>
      <c r="C61" s="138" t="s">
        <v>433</v>
      </c>
      <c r="D61" s="128">
        <v>81.0</v>
      </c>
      <c r="E61" s="128">
        <v>49.23</v>
      </c>
      <c r="F61" s="128">
        <v>2.0</v>
      </c>
      <c r="G61" s="128">
        <v>0.0</v>
      </c>
      <c r="H61" s="128">
        <v>0.0</v>
      </c>
      <c r="I61" s="128">
        <v>77.0</v>
      </c>
      <c r="J61" s="128">
        <v>0.3927</v>
      </c>
      <c r="K61" s="128">
        <v>0.0</v>
      </c>
      <c r="L61" s="128">
        <v>1266.0</v>
      </c>
      <c r="M61" s="128">
        <v>0.87</v>
      </c>
    </row>
    <row r="62">
      <c r="A62" s="125" t="s">
        <v>462</v>
      </c>
      <c r="B62" s="137" t="s">
        <v>463</v>
      </c>
      <c r="C62" s="138" t="s">
        <v>433</v>
      </c>
      <c r="D62" s="128">
        <v>64.0</v>
      </c>
      <c r="E62" s="128">
        <v>54.67</v>
      </c>
      <c r="F62" s="128">
        <v>1.0</v>
      </c>
      <c r="G62" s="128">
        <v>0.0</v>
      </c>
      <c r="H62" s="128">
        <v>0.0</v>
      </c>
      <c r="I62" s="128">
        <v>27.0</v>
      </c>
      <c r="J62" s="128">
        <v>0.1024</v>
      </c>
      <c r="K62" s="128">
        <v>0.0</v>
      </c>
      <c r="L62" s="128">
        <v>661.0</v>
      </c>
      <c r="M62" s="128">
        <v>0.45</v>
      </c>
    </row>
    <row r="63">
      <c r="A63" s="125" t="s">
        <v>518</v>
      </c>
      <c r="B63" s="137" t="s">
        <v>519</v>
      </c>
      <c r="C63" s="138" t="s">
        <v>433</v>
      </c>
      <c r="D63" s="128">
        <v>629.0</v>
      </c>
      <c r="E63" s="128">
        <v>9.59</v>
      </c>
      <c r="F63" s="128">
        <v>0.0</v>
      </c>
      <c r="G63" s="128">
        <v>0.0</v>
      </c>
      <c r="H63" s="128">
        <v>0.0</v>
      </c>
      <c r="I63" s="128">
        <v>1.0</v>
      </c>
      <c r="J63" s="128">
        <v>0.0167</v>
      </c>
      <c r="K63" s="128">
        <v>0.0</v>
      </c>
      <c r="L63" s="128">
        <v>0.0</v>
      </c>
      <c r="M63" s="63" t="s">
        <v>426</v>
      </c>
    </row>
    <row r="64">
      <c r="A64" s="57"/>
    </row>
    <row r="65">
      <c r="A65" s="125" t="s">
        <v>520</v>
      </c>
      <c r="B65" s="137" t="s">
        <v>521</v>
      </c>
      <c r="C65" s="138" t="s">
        <v>435</v>
      </c>
      <c r="D65" s="128">
        <v>739.0</v>
      </c>
      <c r="E65" s="128">
        <v>32.74</v>
      </c>
      <c r="F65" s="128">
        <v>1603.0</v>
      </c>
      <c r="G65" s="128">
        <v>818.0</v>
      </c>
      <c r="H65" s="128">
        <v>55.0</v>
      </c>
      <c r="I65" s="128">
        <v>50627.0</v>
      </c>
      <c r="J65" s="128">
        <v>3402.2831</v>
      </c>
      <c r="K65" s="128">
        <v>1775.0</v>
      </c>
      <c r="L65" s="128">
        <v>623679.0</v>
      </c>
      <c r="M65" s="128">
        <v>6.31</v>
      </c>
    </row>
    <row r="66">
      <c r="A66" s="125" t="s">
        <v>522</v>
      </c>
      <c r="B66" s="137" t="s">
        <v>523</v>
      </c>
      <c r="C66" s="138" t="s">
        <v>435</v>
      </c>
      <c r="D66" s="128">
        <v>666.0</v>
      </c>
      <c r="E66" s="128">
        <v>32.31</v>
      </c>
      <c r="F66" s="128">
        <v>698.0</v>
      </c>
      <c r="G66" s="128">
        <v>296.0</v>
      </c>
      <c r="H66" s="128">
        <v>31.0</v>
      </c>
      <c r="I66" s="128">
        <v>22636.0</v>
      </c>
      <c r="J66" s="128">
        <v>1353.2084</v>
      </c>
      <c r="K66" s="128">
        <v>377.0</v>
      </c>
      <c r="L66" s="128">
        <v>181454.0</v>
      </c>
      <c r="M66" s="128">
        <v>9.73</v>
      </c>
    </row>
    <row r="67">
      <c r="A67" s="125" t="s">
        <v>524</v>
      </c>
      <c r="B67" s="137" t="s">
        <v>525</v>
      </c>
      <c r="C67" s="138" t="s">
        <v>435</v>
      </c>
      <c r="D67" s="128">
        <v>697.0</v>
      </c>
      <c r="E67" s="128">
        <v>32.79</v>
      </c>
      <c r="F67" s="128">
        <v>589.0</v>
      </c>
      <c r="G67" s="128">
        <v>196.0</v>
      </c>
      <c r="H67" s="128">
        <v>14.0</v>
      </c>
      <c r="I67" s="128">
        <v>11336.0</v>
      </c>
      <c r="J67" s="128">
        <v>719.6451</v>
      </c>
      <c r="K67" s="128">
        <v>303.0</v>
      </c>
      <c r="L67" s="128">
        <v>86701.0</v>
      </c>
      <c r="M67" s="128">
        <v>9.17</v>
      </c>
    </row>
    <row r="68">
      <c r="A68" s="125" t="s">
        <v>526</v>
      </c>
      <c r="B68" s="137" t="s">
        <v>527</v>
      </c>
      <c r="C68" s="138" t="s">
        <v>435</v>
      </c>
      <c r="D68" s="128">
        <v>815.0</v>
      </c>
      <c r="E68" s="128">
        <v>31.39</v>
      </c>
      <c r="F68" s="128">
        <v>428.0</v>
      </c>
      <c r="G68" s="128">
        <v>201.0</v>
      </c>
      <c r="H68" s="128">
        <v>24.0</v>
      </c>
      <c r="I68" s="128">
        <v>15322.0</v>
      </c>
      <c r="J68" s="128">
        <v>1088.8093</v>
      </c>
      <c r="K68" s="128">
        <v>362.0</v>
      </c>
      <c r="L68" s="128">
        <v>202047.0</v>
      </c>
      <c r="M68" s="128">
        <v>6.06</v>
      </c>
    </row>
    <row r="69">
      <c r="A69" s="125" t="s">
        <v>528</v>
      </c>
      <c r="B69" s="137" t="s">
        <v>529</v>
      </c>
      <c r="C69" s="138" t="s">
        <v>435</v>
      </c>
      <c r="D69" s="128">
        <v>703.0</v>
      </c>
      <c r="E69" s="128">
        <v>34.69</v>
      </c>
      <c r="F69" s="128">
        <v>324.0</v>
      </c>
      <c r="G69" s="128">
        <v>124.0</v>
      </c>
      <c r="H69" s="128">
        <v>30.0</v>
      </c>
      <c r="I69" s="128">
        <v>7846.0</v>
      </c>
      <c r="J69" s="128">
        <v>531.4359</v>
      </c>
      <c r="K69" s="128">
        <v>143.0</v>
      </c>
      <c r="L69" s="128">
        <v>88937.0</v>
      </c>
      <c r="M69" s="128">
        <v>5.65</v>
      </c>
    </row>
    <row r="70">
      <c r="A70" s="125" t="s">
        <v>530</v>
      </c>
      <c r="B70" s="137" t="s">
        <v>531</v>
      </c>
      <c r="C70" s="138" t="s">
        <v>435</v>
      </c>
      <c r="D70" s="128">
        <v>651.0</v>
      </c>
      <c r="E70" s="128">
        <v>32.09</v>
      </c>
      <c r="F70" s="128">
        <v>236.0</v>
      </c>
      <c r="G70" s="128">
        <v>76.0</v>
      </c>
      <c r="H70" s="128">
        <v>26.0</v>
      </c>
      <c r="I70" s="128">
        <v>7833.0</v>
      </c>
      <c r="J70" s="128">
        <v>454.5702</v>
      </c>
      <c r="K70" s="128">
        <v>205.0</v>
      </c>
      <c r="L70" s="128">
        <v>99773.0</v>
      </c>
      <c r="M70" s="128">
        <v>4.95</v>
      </c>
    </row>
    <row r="71">
      <c r="A71" s="125" t="s">
        <v>518</v>
      </c>
      <c r="B71" s="137" t="s">
        <v>519</v>
      </c>
      <c r="C71" s="138" t="s">
        <v>435</v>
      </c>
      <c r="D71" s="128">
        <v>629.0</v>
      </c>
      <c r="E71" s="128">
        <v>25.39</v>
      </c>
      <c r="F71" s="128">
        <v>155.0</v>
      </c>
      <c r="G71" s="128">
        <v>84.0</v>
      </c>
      <c r="H71" s="128">
        <v>12.0</v>
      </c>
      <c r="I71" s="128">
        <v>3704.0</v>
      </c>
      <c r="J71" s="128">
        <v>164.326</v>
      </c>
      <c r="K71" s="128">
        <v>68.0</v>
      </c>
      <c r="L71" s="128">
        <v>41058.0</v>
      </c>
      <c r="M71" s="128">
        <v>3.93</v>
      </c>
    </row>
    <row r="72">
      <c r="A72" s="125" t="s">
        <v>532</v>
      </c>
      <c r="B72" s="137" t="s">
        <v>533</v>
      </c>
      <c r="C72" s="138" t="s">
        <v>435</v>
      </c>
      <c r="D72" s="128">
        <v>162.0</v>
      </c>
      <c r="E72" s="128">
        <v>61.14</v>
      </c>
      <c r="F72" s="128">
        <v>93.0</v>
      </c>
      <c r="G72" s="128">
        <v>21.0</v>
      </c>
      <c r="H72" s="128">
        <v>3.0</v>
      </c>
      <c r="I72" s="128">
        <v>1214.0</v>
      </c>
      <c r="J72" s="128">
        <v>17.4358</v>
      </c>
      <c r="K72" s="128">
        <v>2.0</v>
      </c>
      <c r="L72" s="128">
        <v>5449.0</v>
      </c>
      <c r="M72" s="128">
        <v>4.28</v>
      </c>
    </row>
    <row r="73">
      <c r="A73" s="125" t="s">
        <v>534</v>
      </c>
      <c r="B73" s="137" t="s">
        <v>535</v>
      </c>
      <c r="C73" s="138" t="s">
        <v>435</v>
      </c>
      <c r="D73" s="128">
        <v>56.0</v>
      </c>
      <c r="E73" s="128">
        <v>63.08</v>
      </c>
      <c r="F73" s="128">
        <v>83.0</v>
      </c>
      <c r="G73" s="128">
        <v>14.0</v>
      </c>
      <c r="H73" s="128">
        <v>1.0</v>
      </c>
      <c r="I73" s="128">
        <v>1730.0</v>
      </c>
      <c r="J73" s="128">
        <v>10.6116</v>
      </c>
      <c r="K73" s="128">
        <v>6.0</v>
      </c>
      <c r="L73" s="128">
        <v>8785.0</v>
      </c>
      <c r="M73" s="128">
        <v>6.68</v>
      </c>
    </row>
    <row r="74">
      <c r="A74" s="125" t="s">
        <v>480</v>
      </c>
      <c r="B74" s="137" t="s">
        <v>481</v>
      </c>
      <c r="C74" s="138" t="s">
        <v>435</v>
      </c>
      <c r="D74" s="128">
        <v>415.0</v>
      </c>
      <c r="E74" s="128">
        <v>34.86</v>
      </c>
      <c r="F74" s="128">
        <v>82.0</v>
      </c>
      <c r="G74" s="128">
        <v>25.0</v>
      </c>
      <c r="H74" s="128">
        <v>8.0</v>
      </c>
      <c r="I74" s="128">
        <v>2850.0</v>
      </c>
      <c r="J74" s="128">
        <v>114.5133</v>
      </c>
      <c r="K74" s="128">
        <v>46.0</v>
      </c>
      <c r="L74" s="128">
        <v>28825.0</v>
      </c>
      <c r="M74" s="128">
        <v>7.29</v>
      </c>
    </row>
    <row r="75">
      <c r="A75" s="125" t="s">
        <v>536</v>
      </c>
      <c r="B75" s="137" t="s">
        <v>537</v>
      </c>
      <c r="C75" s="138" t="s">
        <v>435</v>
      </c>
      <c r="D75" s="128">
        <v>48.0</v>
      </c>
      <c r="E75" s="128">
        <v>66.43</v>
      </c>
      <c r="F75" s="128">
        <v>70.0</v>
      </c>
      <c r="G75" s="128">
        <v>9.0</v>
      </c>
      <c r="H75" s="128">
        <v>2.0</v>
      </c>
      <c r="I75" s="128">
        <v>1869.0</v>
      </c>
      <c r="J75" s="128">
        <v>8.1067</v>
      </c>
      <c r="K75" s="128">
        <v>5.0</v>
      </c>
      <c r="L75" s="128">
        <v>3673.0</v>
      </c>
      <c r="M75" s="128">
        <v>4.82</v>
      </c>
    </row>
    <row r="76">
      <c r="A76" s="125" t="s">
        <v>538</v>
      </c>
      <c r="B76" s="137" t="s">
        <v>539</v>
      </c>
      <c r="C76" s="138" t="s">
        <v>435</v>
      </c>
      <c r="D76" s="128">
        <v>74.0</v>
      </c>
      <c r="E76" s="128">
        <v>55.74</v>
      </c>
      <c r="F76" s="128">
        <v>67.0</v>
      </c>
      <c r="G76" s="128">
        <v>5.0</v>
      </c>
      <c r="H76" s="128">
        <v>3.0</v>
      </c>
      <c r="I76" s="128">
        <v>1633.0</v>
      </c>
      <c r="J76" s="128">
        <v>10.6569</v>
      </c>
      <c r="K76" s="128">
        <v>3.0</v>
      </c>
      <c r="L76" s="128">
        <v>6701.0</v>
      </c>
      <c r="M76" s="128">
        <v>5.37</v>
      </c>
    </row>
    <row r="77">
      <c r="A77" s="125" t="s">
        <v>540</v>
      </c>
      <c r="B77" s="137" t="s">
        <v>541</v>
      </c>
      <c r="C77" s="138" t="s">
        <v>435</v>
      </c>
      <c r="D77" s="128">
        <v>56.0</v>
      </c>
      <c r="E77" s="128">
        <v>71.6</v>
      </c>
      <c r="F77" s="128">
        <v>67.0</v>
      </c>
      <c r="G77" s="128">
        <v>20.0</v>
      </c>
      <c r="H77" s="128">
        <v>1.0</v>
      </c>
      <c r="I77" s="128">
        <v>923.0</v>
      </c>
      <c r="J77" s="128">
        <v>6.6411</v>
      </c>
      <c r="K77" s="128">
        <v>1.0</v>
      </c>
      <c r="L77" s="128">
        <v>6277.0</v>
      </c>
      <c r="M77" s="128">
        <v>5.96</v>
      </c>
    </row>
    <row r="78">
      <c r="A78" s="125" t="s">
        <v>542</v>
      </c>
      <c r="B78" s="137" t="s">
        <v>543</v>
      </c>
      <c r="C78" s="138" t="s">
        <v>435</v>
      </c>
      <c r="D78" s="128">
        <v>52.0</v>
      </c>
      <c r="E78" s="128">
        <v>66.4</v>
      </c>
      <c r="F78" s="128">
        <v>67.0</v>
      </c>
      <c r="G78" s="128">
        <v>14.0</v>
      </c>
      <c r="H78" s="128">
        <v>0.0</v>
      </c>
      <c r="I78" s="128">
        <v>1158.0</v>
      </c>
      <c r="J78" s="128">
        <v>6.1376</v>
      </c>
      <c r="K78" s="128">
        <v>0.0</v>
      </c>
      <c r="L78" s="128">
        <v>4268.0</v>
      </c>
      <c r="M78" s="128">
        <v>5.95</v>
      </c>
    </row>
    <row r="79">
      <c r="A79" s="125" t="s">
        <v>544</v>
      </c>
      <c r="B79" s="137" t="s">
        <v>545</v>
      </c>
      <c r="C79" s="138" t="s">
        <v>435</v>
      </c>
      <c r="D79" s="128">
        <v>65.0</v>
      </c>
      <c r="E79" s="128">
        <v>60.54</v>
      </c>
      <c r="F79" s="128">
        <v>66.0</v>
      </c>
      <c r="G79" s="128">
        <v>10.0</v>
      </c>
      <c r="H79" s="128">
        <v>3.0</v>
      </c>
      <c r="I79" s="128">
        <v>1167.0</v>
      </c>
      <c r="J79" s="128">
        <v>7.0106</v>
      </c>
      <c r="K79" s="128">
        <v>4.0</v>
      </c>
      <c r="L79" s="128">
        <v>5507.0</v>
      </c>
      <c r="M79" s="128">
        <v>4.98</v>
      </c>
    </row>
    <row r="80">
      <c r="A80" s="125" t="s">
        <v>546</v>
      </c>
      <c r="B80" s="137" t="s">
        <v>547</v>
      </c>
      <c r="C80" s="138" t="s">
        <v>435</v>
      </c>
      <c r="D80" s="128">
        <v>77.0</v>
      </c>
      <c r="E80" s="128">
        <v>50.41</v>
      </c>
      <c r="F80" s="128">
        <v>59.0</v>
      </c>
      <c r="G80" s="128">
        <v>4.0</v>
      </c>
      <c r="H80" s="128">
        <v>2.0</v>
      </c>
      <c r="I80" s="128">
        <v>1247.0</v>
      </c>
      <c r="J80" s="128">
        <v>6.8816</v>
      </c>
      <c r="K80" s="128">
        <v>2.0</v>
      </c>
      <c r="L80" s="128">
        <v>3295.0</v>
      </c>
      <c r="M80" s="128">
        <v>4.49</v>
      </c>
    </row>
    <row r="81">
      <c r="A81" s="125" t="s">
        <v>548</v>
      </c>
      <c r="B81" s="137" t="s">
        <v>549</v>
      </c>
      <c r="C81" s="138" t="s">
        <v>435</v>
      </c>
      <c r="D81" s="128">
        <v>60.0</v>
      </c>
      <c r="E81" s="128">
        <v>54.21</v>
      </c>
      <c r="F81" s="128">
        <v>49.0</v>
      </c>
      <c r="G81" s="128">
        <v>11.0</v>
      </c>
      <c r="H81" s="128">
        <v>3.0</v>
      </c>
      <c r="I81" s="128">
        <v>1505.0</v>
      </c>
      <c r="J81" s="128">
        <v>6.7266</v>
      </c>
      <c r="K81" s="128">
        <v>2.0</v>
      </c>
      <c r="L81" s="128">
        <v>5515.0</v>
      </c>
      <c r="M81" s="128">
        <v>4.97</v>
      </c>
    </row>
    <row r="82">
      <c r="A82" s="125" t="s">
        <v>550</v>
      </c>
      <c r="B82" s="137" t="s">
        <v>551</v>
      </c>
      <c r="C82" s="138" t="s">
        <v>435</v>
      </c>
      <c r="D82" s="128">
        <v>63.0</v>
      </c>
      <c r="E82" s="128">
        <v>61.46</v>
      </c>
      <c r="F82" s="128">
        <v>48.0</v>
      </c>
      <c r="G82" s="128">
        <v>4.0</v>
      </c>
      <c r="H82" s="128">
        <v>0.0</v>
      </c>
      <c r="I82" s="128">
        <v>1933.0</v>
      </c>
      <c r="J82" s="128">
        <v>9.0957</v>
      </c>
      <c r="K82" s="128">
        <v>7.0</v>
      </c>
      <c r="L82" s="128">
        <v>5316.0</v>
      </c>
      <c r="M82" s="128">
        <v>4.65</v>
      </c>
    </row>
    <row r="83">
      <c r="A83" s="125" t="s">
        <v>552</v>
      </c>
      <c r="B83" s="137" t="s">
        <v>553</v>
      </c>
      <c r="C83" s="138" t="s">
        <v>435</v>
      </c>
      <c r="D83" s="128">
        <v>54.0</v>
      </c>
      <c r="E83" s="128">
        <v>48.79</v>
      </c>
      <c r="F83" s="128">
        <v>38.0</v>
      </c>
      <c r="G83" s="128">
        <v>5.0</v>
      </c>
      <c r="H83" s="128">
        <v>1.0</v>
      </c>
      <c r="I83" s="128">
        <v>1076.0</v>
      </c>
      <c r="J83" s="128">
        <v>3.5153</v>
      </c>
      <c r="K83" s="128">
        <v>2.0</v>
      </c>
      <c r="L83" s="128">
        <v>3722.0</v>
      </c>
      <c r="M83" s="128">
        <v>4.0</v>
      </c>
    </row>
    <row r="84">
      <c r="A84" s="125" t="s">
        <v>437</v>
      </c>
      <c r="B84" s="137" t="s">
        <v>438</v>
      </c>
      <c r="C84" s="138" t="s">
        <v>435</v>
      </c>
      <c r="D84" s="128">
        <v>623.0</v>
      </c>
      <c r="E84" s="128">
        <v>32.23</v>
      </c>
      <c r="F84" s="128">
        <v>30.0</v>
      </c>
      <c r="G84" s="128">
        <v>28.0</v>
      </c>
      <c r="H84" s="128">
        <v>1.0</v>
      </c>
      <c r="I84" s="128">
        <v>1852.0</v>
      </c>
      <c r="J84" s="128">
        <v>103.3024</v>
      </c>
      <c r="K84" s="128">
        <v>53.0</v>
      </c>
      <c r="L84" s="128">
        <v>25520.0</v>
      </c>
      <c r="M84" s="128">
        <v>5.21</v>
      </c>
    </row>
    <row r="85">
      <c r="A85" s="125" t="s">
        <v>474</v>
      </c>
      <c r="B85" s="137" t="s">
        <v>475</v>
      </c>
      <c r="C85" s="138" t="s">
        <v>435</v>
      </c>
      <c r="D85" s="128">
        <v>630.0</v>
      </c>
      <c r="E85" s="128">
        <v>30.42</v>
      </c>
      <c r="F85" s="128">
        <v>25.0</v>
      </c>
      <c r="G85" s="128">
        <v>14.0</v>
      </c>
      <c r="H85" s="128">
        <v>3.0</v>
      </c>
      <c r="I85" s="128">
        <v>1178.0</v>
      </c>
      <c r="J85" s="128">
        <v>62.7143</v>
      </c>
      <c r="K85" s="128">
        <v>38.0</v>
      </c>
      <c r="L85" s="128">
        <v>15835.0</v>
      </c>
      <c r="M85" s="128">
        <v>4.89</v>
      </c>
    </row>
    <row r="86">
      <c r="A86" s="125" t="s">
        <v>482</v>
      </c>
      <c r="B86" s="137" t="s">
        <v>483</v>
      </c>
      <c r="C86" s="138" t="s">
        <v>435</v>
      </c>
      <c r="D86" s="128">
        <v>586.0</v>
      </c>
      <c r="E86" s="128">
        <v>28.25</v>
      </c>
      <c r="F86" s="128">
        <v>19.0</v>
      </c>
      <c r="G86" s="128">
        <v>2.0</v>
      </c>
      <c r="H86" s="128">
        <v>1.0</v>
      </c>
      <c r="I86" s="128">
        <v>426.0</v>
      </c>
      <c r="J86" s="128">
        <v>19.5877</v>
      </c>
      <c r="K86" s="128">
        <v>4.0</v>
      </c>
      <c r="L86" s="128">
        <v>5048.0</v>
      </c>
      <c r="M86" s="128">
        <v>3.51</v>
      </c>
    </row>
    <row r="87">
      <c r="A87" s="125" t="s">
        <v>506</v>
      </c>
      <c r="B87" s="137" t="s">
        <v>507</v>
      </c>
      <c r="C87" s="138" t="s">
        <v>435</v>
      </c>
      <c r="D87" s="128">
        <v>75.0</v>
      </c>
      <c r="E87" s="128">
        <v>49.27</v>
      </c>
      <c r="F87" s="128">
        <v>18.0</v>
      </c>
      <c r="G87" s="128">
        <v>3.0</v>
      </c>
      <c r="H87" s="128">
        <v>4.0</v>
      </c>
      <c r="I87" s="128">
        <v>435.0</v>
      </c>
      <c r="J87" s="128">
        <v>1.9526</v>
      </c>
      <c r="K87" s="128">
        <v>0.0</v>
      </c>
      <c r="L87" s="128">
        <v>2282.0</v>
      </c>
      <c r="M87" s="128">
        <v>2.76</v>
      </c>
    </row>
    <row r="88">
      <c r="A88" s="125" t="s">
        <v>514</v>
      </c>
      <c r="B88" s="137" t="s">
        <v>515</v>
      </c>
      <c r="C88" s="138" t="s">
        <v>435</v>
      </c>
      <c r="D88" s="128">
        <v>45.0</v>
      </c>
      <c r="E88" s="128">
        <v>62.84</v>
      </c>
      <c r="F88" s="128">
        <v>16.0</v>
      </c>
      <c r="G88" s="128">
        <v>0.0</v>
      </c>
      <c r="H88" s="128">
        <v>0.0</v>
      </c>
      <c r="I88" s="128">
        <v>371.0</v>
      </c>
      <c r="J88" s="128">
        <v>1.6864</v>
      </c>
      <c r="K88" s="128">
        <v>1.0</v>
      </c>
      <c r="L88" s="128">
        <v>2798.0</v>
      </c>
      <c r="M88" s="128">
        <v>3.47</v>
      </c>
    </row>
    <row r="89">
      <c r="A89" s="125" t="s">
        <v>442</v>
      </c>
      <c r="B89" s="137" t="s">
        <v>443</v>
      </c>
      <c r="C89" s="138" t="s">
        <v>435</v>
      </c>
      <c r="D89" s="128">
        <v>351.0</v>
      </c>
      <c r="E89" s="128">
        <v>52.24</v>
      </c>
      <c r="F89" s="128">
        <v>10.0</v>
      </c>
      <c r="G89" s="128">
        <v>2.0</v>
      </c>
      <c r="H89" s="128">
        <v>0.0</v>
      </c>
      <c r="I89" s="128">
        <v>103.0</v>
      </c>
      <c r="J89" s="128">
        <v>5.246</v>
      </c>
      <c r="K89" s="128">
        <v>0.0</v>
      </c>
      <c r="L89" s="128">
        <v>2569.0</v>
      </c>
      <c r="M89" s="128">
        <v>2.37</v>
      </c>
    </row>
    <row r="90">
      <c r="A90" s="125" t="s">
        <v>478</v>
      </c>
      <c r="B90" s="137" t="s">
        <v>479</v>
      </c>
      <c r="C90" s="138" t="s">
        <v>435</v>
      </c>
      <c r="D90" s="128">
        <v>86.0</v>
      </c>
      <c r="E90" s="128">
        <v>64.3</v>
      </c>
      <c r="F90" s="128">
        <v>9.0</v>
      </c>
      <c r="G90" s="128">
        <v>1.0</v>
      </c>
      <c r="H90" s="128">
        <v>1.0</v>
      </c>
      <c r="I90" s="128">
        <v>406.0</v>
      </c>
      <c r="J90" s="128">
        <v>4.638</v>
      </c>
      <c r="K90" s="128">
        <v>3.0</v>
      </c>
      <c r="L90" s="128">
        <v>3035.0</v>
      </c>
      <c r="M90" s="128">
        <v>5.67</v>
      </c>
    </row>
    <row r="91">
      <c r="A91" s="125" t="s">
        <v>510</v>
      </c>
      <c r="B91" s="137" t="s">
        <v>511</v>
      </c>
      <c r="C91" s="138" t="s">
        <v>435</v>
      </c>
      <c r="D91" s="128">
        <v>47.0</v>
      </c>
      <c r="E91" s="128">
        <v>61.27</v>
      </c>
      <c r="F91" s="128">
        <v>9.0</v>
      </c>
      <c r="G91" s="128">
        <v>1.0</v>
      </c>
      <c r="H91" s="128">
        <v>0.0</v>
      </c>
      <c r="I91" s="128">
        <v>188.0</v>
      </c>
      <c r="J91" s="128">
        <v>0.8058</v>
      </c>
      <c r="K91" s="128">
        <v>1.0</v>
      </c>
      <c r="L91" s="128">
        <v>1538.0</v>
      </c>
      <c r="M91" s="128">
        <v>2.34</v>
      </c>
    </row>
    <row r="92">
      <c r="A92" s="125" t="s">
        <v>476</v>
      </c>
      <c r="B92" s="137" t="s">
        <v>477</v>
      </c>
      <c r="C92" s="138" t="s">
        <v>435</v>
      </c>
      <c r="D92" s="128">
        <v>647.0</v>
      </c>
      <c r="E92" s="128">
        <v>35.72</v>
      </c>
      <c r="F92" s="128">
        <v>7.0</v>
      </c>
      <c r="G92" s="128">
        <v>13.0</v>
      </c>
      <c r="H92" s="128">
        <v>1.0</v>
      </c>
      <c r="I92" s="128">
        <v>319.0</v>
      </c>
      <c r="J92" s="128">
        <v>20.479</v>
      </c>
      <c r="K92" s="128">
        <v>3.0</v>
      </c>
      <c r="L92" s="128">
        <v>6040.0</v>
      </c>
      <c r="M92" s="128">
        <v>2.91</v>
      </c>
    </row>
    <row r="93">
      <c r="A93" s="125" t="s">
        <v>550</v>
      </c>
      <c r="B93" s="137" t="s">
        <v>551</v>
      </c>
      <c r="C93" s="138" t="s">
        <v>435</v>
      </c>
      <c r="D93" s="128">
        <v>63.0</v>
      </c>
      <c r="E93" s="128">
        <v>62.22</v>
      </c>
      <c r="F93" s="128">
        <v>7.0</v>
      </c>
      <c r="G93" s="128">
        <v>0.0</v>
      </c>
      <c r="H93" s="128">
        <v>0.0</v>
      </c>
      <c r="I93" s="128">
        <v>185.0</v>
      </c>
      <c r="J93" s="128">
        <v>0.8142</v>
      </c>
      <c r="K93" s="128">
        <v>0.0</v>
      </c>
      <c r="L93" s="128">
        <v>224.0</v>
      </c>
      <c r="M93" s="128">
        <v>6.7</v>
      </c>
    </row>
    <row r="94">
      <c r="A94" s="125" t="s">
        <v>440</v>
      </c>
      <c r="B94" s="137" t="s">
        <v>441</v>
      </c>
      <c r="C94" s="138" t="s">
        <v>435</v>
      </c>
      <c r="D94" s="128">
        <v>503.0</v>
      </c>
      <c r="E94" s="128">
        <v>39.26</v>
      </c>
      <c r="F94" s="128">
        <v>6.0</v>
      </c>
      <c r="G94" s="128">
        <v>3.0</v>
      </c>
      <c r="H94" s="128">
        <v>0.0</v>
      </c>
      <c r="I94" s="128">
        <v>143.0</v>
      </c>
      <c r="J94" s="128">
        <v>7.8452</v>
      </c>
      <c r="K94" s="128">
        <v>1.0</v>
      </c>
      <c r="L94" s="128">
        <v>4076.0</v>
      </c>
      <c r="M94" s="128">
        <v>2.09</v>
      </c>
    </row>
    <row r="95">
      <c r="A95" s="125" t="s">
        <v>486</v>
      </c>
      <c r="B95" s="137" t="s">
        <v>487</v>
      </c>
      <c r="C95" s="138" t="s">
        <v>435</v>
      </c>
      <c r="D95" s="128">
        <v>568.0</v>
      </c>
      <c r="E95" s="128">
        <v>27.99</v>
      </c>
      <c r="F95" s="128">
        <v>6.0</v>
      </c>
      <c r="G95" s="128">
        <v>0.0</v>
      </c>
      <c r="H95" s="128">
        <v>0.0</v>
      </c>
      <c r="I95" s="128">
        <v>120.0</v>
      </c>
      <c r="J95" s="128">
        <v>5.2988</v>
      </c>
      <c r="K95" s="128">
        <v>1.0</v>
      </c>
      <c r="L95" s="128">
        <v>4658.0</v>
      </c>
      <c r="M95" s="128">
        <v>1.91</v>
      </c>
    </row>
    <row r="96">
      <c r="A96" s="125" t="s">
        <v>488</v>
      </c>
      <c r="B96" s="137" t="s">
        <v>489</v>
      </c>
      <c r="C96" s="138" t="s">
        <v>435</v>
      </c>
      <c r="D96" s="128">
        <v>68.0</v>
      </c>
      <c r="E96" s="128">
        <v>47.0</v>
      </c>
      <c r="F96" s="128">
        <v>5.0</v>
      </c>
      <c r="G96" s="128">
        <v>1.0</v>
      </c>
      <c r="H96" s="128">
        <v>0.0</v>
      </c>
      <c r="I96" s="128">
        <v>50.0</v>
      </c>
      <c r="J96" s="128">
        <v>0.3255</v>
      </c>
      <c r="K96" s="128">
        <v>0.0</v>
      </c>
      <c r="L96" s="128">
        <v>661.0</v>
      </c>
      <c r="M96" s="128">
        <v>3.48</v>
      </c>
    </row>
    <row r="97">
      <c r="A97" s="125" t="s">
        <v>503</v>
      </c>
      <c r="B97" s="137" t="s">
        <v>500</v>
      </c>
      <c r="C97" s="138" t="s">
        <v>435</v>
      </c>
      <c r="D97" s="128">
        <v>444.0</v>
      </c>
      <c r="E97" s="128">
        <v>30.11</v>
      </c>
      <c r="F97" s="128">
        <v>5.0</v>
      </c>
      <c r="G97" s="128">
        <v>2.0</v>
      </c>
      <c r="H97" s="128">
        <v>0.0</v>
      </c>
      <c r="I97" s="128">
        <v>97.0</v>
      </c>
      <c r="J97" s="128">
        <v>3.6022</v>
      </c>
      <c r="K97" s="128">
        <v>0.0</v>
      </c>
      <c r="L97" s="128">
        <v>2772.0</v>
      </c>
      <c r="M97" s="128">
        <v>1.7</v>
      </c>
    </row>
    <row r="98">
      <c r="A98" s="125" t="s">
        <v>493</v>
      </c>
      <c r="B98" s="137" t="s">
        <v>494</v>
      </c>
      <c r="C98" s="138" t="s">
        <v>435</v>
      </c>
      <c r="D98" s="128">
        <v>60.0</v>
      </c>
      <c r="E98" s="128">
        <v>43.7</v>
      </c>
      <c r="F98" s="128">
        <v>4.0</v>
      </c>
      <c r="G98" s="128">
        <v>2.0</v>
      </c>
      <c r="H98" s="128">
        <v>0.0</v>
      </c>
      <c r="I98" s="128">
        <v>117.0</v>
      </c>
      <c r="J98" s="128">
        <v>0.5233</v>
      </c>
      <c r="K98" s="128">
        <v>0.0</v>
      </c>
      <c r="L98" s="128">
        <v>1123.0</v>
      </c>
      <c r="M98" s="128">
        <v>2.76</v>
      </c>
    </row>
    <row r="99">
      <c r="A99" s="125" t="s">
        <v>484</v>
      </c>
      <c r="B99" s="137" t="s">
        <v>485</v>
      </c>
      <c r="C99" s="138" t="s">
        <v>435</v>
      </c>
      <c r="D99" s="128">
        <v>488.0</v>
      </c>
      <c r="E99" s="128">
        <v>29.82</v>
      </c>
      <c r="F99" s="128">
        <v>3.0</v>
      </c>
      <c r="G99" s="128">
        <v>3.0</v>
      </c>
      <c r="H99" s="128">
        <v>0.0</v>
      </c>
      <c r="I99" s="128">
        <v>179.0</v>
      </c>
      <c r="J99" s="128">
        <v>7.2362</v>
      </c>
      <c r="K99" s="128">
        <v>3.0</v>
      </c>
      <c r="L99" s="128">
        <v>5237.0</v>
      </c>
      <c r="M99" s="128">
        <v>2.04</v>
      </c>
    </row>
    <row r="100">
      <c r="A100" s="125" t="s">
        <v>446</v>
      </c>
      <c r="B100" s="137" t="s">
        <v>447</v>
      </c>
      <c r="C100" s="138" t="s">
        <v>435</v>
      </c>
      <c r="D100" s="128">
        <v>582.0</v>
      </c>
      <c r="E100" s="128">
        <v>33.09</v>
      </c>
      <c r="F100" s="128">
        <v>3.0</v>
      </c>
      <c r="G100" s="128">
        <v>0.0</v>
      </c>
      <c r="H100" s="128">
        <v>0.0</v>
      </c>
      <c r="I100" s="128">
        <v>64.0</v>
      </c>
      <c r="J100" s="128">
        <v>3.4236</v>
      </c>
      <c r="K100" s="128">
        <v>2.0</v>
      </c>
      <c r="L100" s="128">
        <v>934.0</v>
      </c>
      <c r="M100" s="128">
        <v>3.96</v>
      </c>
    </row>
    <row r="101">
      <c r="A101" s="125" t="s">
        <v>501</v>
      </c>
      <c r="B101" s="137" t="s">
        <v>502</v>
      </c>
      <c r="C101" s="138" t="s">
        <v>435</v>
      </c>
      <c r="D101" s="128">
        <v>60.0</v>
      </c>
      <c r="E101" s="128">
        <v>78.81</v>
      </c>
      <c r="F101" s="128">
        <v>3.0</v>
      </c>
      <c r="G101" s="128">
        <v>0.0</v>
      </c>
      <c r="H101" s="128">
        <v>0.0</v>
      </c>
      <c r="I101" s="128">
        <v>27.0</v>
      </c>
      <c r="J101" s="128">
        <v>0.2258</v>
      </c>
      <c r="K101" s="128">
        <v>0.0</v>
      </c>
      <c r="L101" s="128">
        <v>358.0</v>
      </c>
      <c r="M101" s="128">
        <v>3.35</v>
      </c>
    </row>
    <row r="102">
      <c r="A102" s="125" t="s">
        <v>444</v>
      </c>
      <c r="B102" s="137" t="s">
        <v>445</v>
      </c>
      <c r="C102" s="138" t="s">
        <v>435</v>
      </c>
      <c r="D102" s="128">
        <v>530.0</v>
      </c>
      <c r="E102" s="128">
        <v>27.31</v>
      </c>
      <c r="F102" s="128">
        <v>2.0</v>
      </c>
      <c r="G102" s="128">
        <v>0.0</v>
      </c>
      <c r="H102" s="128">
        <v>0.0</v>
      </c>
      <c r="I102" s="128">
        <v>69.0</v>
      </c>
      <c r="J102" s="128">
        <v>2.7742</v>
      </c>
      <c r="K102" s="128">
        <v>0.0</v>
      </c>
      <c r="L102" s="128">
        <v>2530.0</v>
      </c>
      <c r="M102" s="128">
        <v>1.34</v>
      </c>
    </row>
    <row r="103">
      <c r="A103" s="125" t="s">
        <v>512</v>
      </c>
      <c r="B103" s="137" t="s">
        <v>513</v>
      </c>
      <c r="C103" s="138" t="s">
        <v>435</v>
      </c>
      <c r="D103" s="128">
        <v>50.0</v>
      </c>
      <c r="E103" s="128">
        <v>46.96</v>
      </c>
      <c r="F103" s="128">
        <v>2.0</v>
      </c>
      <c r="G103" s="128">
        <v>0.0</v>
      </c>
      <c r="H103" s="128">
        <v>0.0</v>
      </c>
      <c r="I103" s="128">
        <v>44.0</v>
      </c>
      <c r="J103" s="128">
        <v>0.1839</v>
      </c>
      <c r="K103" s="128">
        <v>0.0</v>
      </c>
      <c r="L103" s="128">
        <v>514.0</v>
      </c>
      <c r="M103" s="128">
        <v>2.72</v>
      </c>
    </row>
    <row r="104">
      <c r="A104" s="125" t="s">
        <v>495</v>
      </c>
      <c r="B104" s="137" t="s">
        <v>496</v>
      </c>
      <c r="C104" s="138" t="s">
        <v>435</v>
      </c>
      <c r="D104" s="128">
        <v>63.0</v>
      </c>
      <c r="E104" s="128">
        <v>47.28</v>
      </c>
      <c r="F104" s="128">
        <v>2.0</v>
      </c>
      <c r="G104" s="128">
        <v>0.0</v>
      </c>
      <c r="H104" s="128">
        <v>0.0</v>
      </c>
      <c r="I104" s="128">
        <v>44.0</v>
      </c>
      <c r="J104" s="128">
        <v>0.1747</v>
      </c>
      <c r="K104" s="128">
        <v>0.0</v>
      </c>
      <c r="L104" s="128">
        <v>580.0</v>
      </c>
      <c r="M104" s="128">
        <v>0.69</v>
      </c>
    </row>
    <row r="105">
      <c r="A105" s="125" t="s">
        <v>497</v>
      </c>
      <c r="B105" s="137" t="s">
        <v>498</v>
      </c>
      <c r="C105" s="138" t="s">
        <v>435</v>
      </c>
      <c r="D105" s="128">
        <v>48.0</v>
      </c>
      <c r="E105" s="128">
        <v>52.86</v>
      </c>
      <c r="F105" s="128">
        <v>2.0</v>
      </c>
      <c r="G105" s="128">
        <v>0.0</v>
      </c>
      <c r="H105" s="128">
        <v>0.0</v>
      </c>
      <c r="I105" s="128">
        <v>42.0</v>
      </c>
      <c r="J105" s="128">
        <v>0.2152</v>
      </c>
      <c r="K105" s="128">
        <v>0.0</v>
      </c>
      <c r="L105" s="128">
        <v>617.0</v>
      </c>
      <c r="M105" s="128">
        <v>3.24</v>
      </c>
    </row>
    <row r="106">
      <c r="A106" s="125" t="s">
        <v>490</v>
      </c>
      <c r="B106" s="137" t="s">
        <v>491</v>
      </c>
      <c r="C106" s="138" t="s">
        <v>435</v>
      </c>
      <c r="D106" s="128">
        <v>73.0</v>
      </c>
      <c r="E106" s="128">
        <v>47.77</v>
      </c>
      <c r="F106" s="128">
        <v>2.0</v>
      </c>
      <c r="G106" s="128">
        <v>0.0</v>
      </c>
      <c r="H106" s="128">
        <v>0.0</v>
      </c>
      <c r="I106" s="128">
        <v>100.0</v>
      </c>
      <c r="J106" s="128">
        <v>0.5366</v>
      </c>
      <c r="K106" s="128">
        <v>0.0</v>
      </c>
      <c r="L106" s="128">
        <v>981.0</v>
      </c>
      <c r="M106" s="128">
        <v>1.94</v>
      </c>
    </row>
    <row r="107">
      <c r="A107" s="125" t="s">
        <v>492</v>
      </c>
      <c r="B107" s="137" t="s">
        <v>485</v>
      </c>
      <c r="C107" s="138" t="s">
        <v>435</v>
      </c>
      <c r="D107" s="128">
        <v>49.0</v>
      </c>
      <c r="E107" s="128">
        <v>65.6</v>
      </c>
      <c r="F107" s="128">
        <v>2.0</v>
      </c>
      <c r="G107" s="128">
        <v>6.0</v>
      </c>
      <c r="H107" s="128">
        <v>0.0</v>
      </c>
      <c r="I107" s="128">
        <v>46.0</v>
      </c>
      <c r="J107" s="128">
        <v>0.2392</v>
      </c>
      <c r="K107" s="128">
        <v>0.0</v>
      </c>
      <c r="L107" s="128">
        <v>465.0</v>
      </c>
      <c r="M107" s="128">
        <v>2.8</v>
      </c>
    </row>
    <row r="108">
      <c r="A108" s="125" t="s">
        <v>554</v>
      </c>
      <c r="B108" s="137" t="s">
        <v>555</v>
      </c>
      <c r="C108" s="138" t="s">
        <v>435</v>
      </c>
      <c r="D108" s="128">
        <v>54.0</v>
      </c>
      <c r="E108" s="128">
        <v>61.08</v>
      </c>
      <c r="F108" s="128">
        <v>1.0</v>
      </c>
      <c r="G108" s="128">
        <v>0.0</v>
      </c>
      <c r="H108" s="128">
        <v>0.0</v>
      </c>
      <c r="I108" s="128">
        <v>32.0</v>
      </c>
      <c r="J108" s="128">
        <v>0.1438</v>
      </c>
      <c r="K108" s="128">
        <v>0.0</v>
      </c>
      <c r="L108" s="128">
        <v>172.0</v>
      </c>
      <c r="M108" s="128">
        <v>2.91</v>
      </c>
    </row>
    <row r="109">
      <c r="A109" s="125" t="s">
        <v>504</v>
      </c>
      <c r="B109" s="137" t="s">
        <v>505</v>
      </c>
      <c r="C109" s="138" t="s">
        <v>435</v>
      </c>
      <c r="D109" s="128">
        <v>60.0</v>
      </c>
      <c r="E109" s="128">
        <v>36.21</v>
      </c>
      <c r="F109" s="128">
        <v>1.0</v>
      </c>
      <c r="G109" s="128">
        <v>0.0</v>
      </c>
      <c r="H109" s="128">
        <v>0.0</v>
      </c>
      <c r="I109" s="128">
        <v>29.0</v>
      </c>
      <c r="J109" s="128">
        <v>0.1245</v>
      </c>
      <c r="K109" s="128">
        <v>0.0</v>
      </c>
      <c r="L109" s="128">
        <v>397.0</v>
      </c>
      <c r="M109" s="128">
        <v>3.27</v>
      </c>
    </row>
    <row r="110">
      <c r="A110" s="125" t="s">
        <v>450</v>
      </c>
      <c r="B110" s="137" t="s">
        <v>451</v>
      </c>
      <c r="C110" s="138" t="s">
        <v>435</v>
      </c>
      <c r="D110" s="128">
        <v>93.0</v>
      </c>
      <c r="E110" s="128">
        <v>64.74</v>
      </c>
      <c r="F110" s="128">
        <v>1.0</v>
      </c>
      <c r="G110" s="128">
        <v>0.0</v>
      </c>
      <c r="H110" s="128">
        <v>0.0</v>
      </c>
      <c r="I110" s="128">
        <v>9.0</v>
      </c>
      <c r="J110" s="128">
        <v>0.1011</v>
      </c>
      <c r="K110" s="128">
        <v>0.0</v>
      </c>
      <c r="L110" s="128">
        <v>179.0</v>
      </c>
      <c r="M110" s="128">
        <v>1.12</v>
      </c>
    </row>
    <row r="111">
      <c r="A111" s="125" t="s">
        <v>468</v>
      </c>
      <c r="B111" s="137" t="s">
        <v>469</v>
      </c>
      <c r="C111" s="138" t="s">
        <v>435</v>
      </c>
      <c r="D111" s="128">
        <v>66.0</v>
      </c>
      <c r="E111" s="128">
        <v>80.69</v>
      </c>
      <c r="F111" s="128">
        <v>1.0</v>
      </c>
      <c r="G111" s="128">
        <v>0.0</v>
      </c>
      <c r="H111" s="128">
        <v>0.0</v>
      </c>
      <c r="I111" s="128">
        <v>13.0</v>
      </c>
      <c r="J111" s="128">
        <v>0.0898</v>
      </c>
      <c r="K111" s="128">
        <v>0.0</v>
      </c>
      <c r="L111" s="128">
        <v>156.0</v>
      </c>
      <c r="M111" s="128">
        <v>1.28</v>
      </c>
    </row>
    <row r="112">
      <c r="A112" s="125" t="s">
        <v>462</v>
      </c>
      <c r="B112" s="137" t="s">
        <v>463</v>
      </c>
      <c r="C112" s="138" t="s">
        <v>435</v>
      </c>
      <c r="D112" s="128">
        <v>64.0</v>
      </c>
      <c r="E112" s="128">
        <v>68.2</v>
      </c>
      <c r="F112" s="128">
        <v>1.0</v>
      </c>
      <c r="G112" s="128">
        <v>0.0</v>
      </c>
      <c r="H112" s="128">
        <v>0.0</v>
      </c>
      <c r="I112" s="128">
        <v>9.0</v>
      </c>
      <c r="J112" s="128">
        <v>0.028</v>
      </c>
      <c r="K112" s="128">
        <v>0.0</v>
      </c>
      <c r="L112" s="128">
        <v>141.0</v>
      </c>
      <c r="M112" s="128">
        <v>0.71</v>
      </c>
    </row>
    <row r="113">
      <c r="A113" s="125" t="s">
        <v>452</v>
      </c>
      <c r="B113" s="137" t="s">
        <v>453</v>
      </c>
      <c r="C113" s="138" t="s">
        <v>435</v>
      </c>
      <c r="D113" s="128">
        <v>80.0</v>
      </c>
      <c r="E113" s="128">
        <v>31.05</v>
      </c>
      <c r="F113" s="128">
        <v>0.0</v>
      </c>
      <c r="G113" s="128">
        <v>0.0</v>
      </c>
      <c r="H113" s="128">
        <v>0.0</v>
      </c>
      <c r="I113" s="128">
        <v>13.0</v>
      </c>
      <c r="J113" s="128">
        <v>0.0389</v>
      </c>
      <c r="K113" s="128">
        <v>0.0</v>
      </c>
      <c r="L113" s="128">
        <v>156.0</v>
      </c>
      <c r="M113" s="128">
        <v>1.92</v>
      </c>
    </row>
    <row r="114">
      <c r="A114" s="125" t="s">
        <v>472</v>
      </c>
      <c r="B114" s="137" t="s">
        <v>473</v>
      </c>
      <c r="C114" s="138" t="s">
        <v>435</v>
      </c>
      <c r="D114" s="128">
        <v>58.0</v>
      </c>
      <c r="E114" s="128">
        <v>56.04</v>
      </c>
      <c r="F114" s="128">
        <v>0.0</v>
      </c>
      <c r="G114" s="128">
        <v>0.0</v>
      </c>
      <c r="H114" s="128">
        <v>0.0</v>
      </c>
      <c r="I114" s="128">
        <v>15.0</v>
      </c>
      <c r="J114" s="128">
        <v>0.0829</v>
      </c>
      <c r="K114" s="128">
        <v>0.0</v>
      </c>
      <c r="L114" s="128">
        <v>114.0</v>
      </c>
      <c r="M114" s="128">
        <v>4.39</v>
      </c>
    </row>
    <row r="115">
      <c r="A115" s="125" t="s">
        <v>508</v>
      </c>
      <c r="B115" s="137" t="s">
        <v>509</v>
      </c>
      <c r="C115" s="138" t="s">
        <v>435</v>
      </c>
      <c r="D115" s="128">
        <v>98.0</v>
      </c>
      <c r="E115" s="128">
        <v>51.57</v>
      </c>
      <c r="F115" s="128">
        <v>0.0</v>
      </c>
      <c r="G115" s="128">
        <v>0.0</v>
      </c>
      <c r="H115" s="128">
        <v>0.0</v>
      </c>
      <c r="I115" s="128">
        <v>11.0</v>
      </c>
      <c r="J115" s="128">
        <v>0.0597</v>
      </c>
      <c r="K115" s="128">
        <v>0.0</v>
      </c>
      <c r="L115" s="128">
        <v>217.0</v>
      </c>
      <c r="M115" s="128">
        <v>0.92</v>
      </c>
    </row>
    <row r="116">
      <c r="A116" s="125" t="s">
        <v>458</v>
      </c>
      <c r="B116" s="137" t="s">
        <v>459</v>
      </c>
      <c r="C116" s="138" t="s">
        <v>435</v>
      </c>
      <c r="D116" s="128">
        <v>51.0</v>
      </c>
      <c r="E116" s="128">
        <v>39.71</v>
      </c>
      <c r="F116" s="128">
        <v>0.0</v>
      </c>
      <c r="G116" s="128">
        <v>0.0</v>
      </c>
      <c r="H116" s="128">
        <v>0.0</v>
      </c>
      <c r="I116" s="128">
        <v>5.0</v>
      </c>
      <c r="J116" s="128">
        <v>0.0126</v>
      </c>
      <c r="K116" s="128">
        <v>0.0</v>
      </c>
      <c r="L116" s="128">
        <v>140.0</v>
      </c>
      <c r="M116" s="128">
        <v>0.0</v>
      </c>
    </row>
    <row r="117">
      <c r="A117" s="125" t="s">
        <v>464</v>
      </c>
      <c r="B117" s="137" t="s">
        <v>465</v>
      </c>
      <c r="C117" s="138" t="s">
        <v>435</v>
      </c>
      <c r="D117" s="128">
        <v>58.0</v>
      </c>
      <c r="E117" s="128">
        <v>71.7</v>
      </c>
      <c r="F117" s="128">
        <v>0.0</v>
      </c>
      <c r="G117" s="128">
        <v>0.0</v>
      </c>
      <c r="H117" s="128">
        <v>0.0</v>
      </c>
      <c r="I117" s="128">
        <v>14.0</v>
      </c>
      <c r="J117" s="128">
        <v>0.0823</v>
      </c>
      <c r="K117" s="128">
        <v>0.0</v>
      </c>
      <c r="L117" s="128">
        <v>139.0</v>
      </c>
      <c r="M117" s="128">
        <v>1.44</v>
      </c>
    </row>
    <row r="118">
      <c r="A118" s="125" t="s">
        <v>499</v>
      </c>
      <c r="B118" s="137" t="s">
        <v>500</v>
      </c>
      <c r="C118" s="138" t="s">
        <v>435</v>
      </c>
      <c r="D118" s="128">
        <v>105.0</v>
      </c>
      <c r="E118" s="128">
        <v>26.7</v>
      </c>
      <c r="F118" s="128">
        <v>0.0</v>
      </c>
      <c r="G118" s="128">
        <v>0.0</v>
      </c>
      <c r="H118" s="128">
        <v>0.0</v>
      </c>
      <c r="I118" s="128">
        <v>10.0</v>
      </c>
      <c r="J118" s="128">
        <v>0.0497</v>
      </c>
      <c r="K118" s="128">
        <v>0.0</v>
      </c>
      <c r="L118" s="128">
        <v>301.0</v>
      </c>
      <c r="M118" s="128">
        <v>0.33</v>
      </c>
    </row>
    <row r="119">
      <c r="A119" s="125" t="s">
        <v>448</v>
      </c>
      <c r="B119" s="137" t="s">
        <v>449</v>
      </c>
      <c r="C119" s="138" t="s">
        <v>435</v>
      </c>
      <c r="D119" s="128">
        <v>915.0</v>
      </c>
      <c r="E119" s="128">
        <v>19.92</v>
      </c>
      <c r="F119" s="128">
        <v>0.0</v>
      </c>
      <c r="G119" s="128">
        <v>0.0</v>
      </c>
      <c r="H119" s="128">
        <v>0.0</v>
      </c>
      <c r="I119" s="128">
        <v>28.0</v>
      </c>
      <c r="J119" s="128">
        <v>1.4177</v>
      </c>
      <c r="K119" s="128">
        <v>0.0</v>
      </c>
      <c r="L119" s="128">
        <v>1697.0</v>
      </c>
      <c r="M119" s="128">
        <v>0.77</v>
      </c>
    </row>
    <row r="120">
      <c r="A120" s="125" t="s">
        <v>456</v>
      </c>
      <c r="B120" s="137" t="s">
        <v>457</v>
      </c>
      <c r="C120" s="138" t="s">
        <v>435</v>
      </c>
      <c r="D120" s="128">
        <v>61.0</v>
      </c>
      <c r="E120" s="128">
        <v>83.61</v>
      </c>
      <c r="F120" s="128">
        <v>0.0</v>
      </c>
      <c r="G120" s="128">
        <v>0.0</v>
      </c>
      <c r="H120" s="128">
        <v>0.0</v>
      </c>
      <c r="I120" s="128">
        <v>7.0</v>
      </c>
      <c r="J120" s="128">
        <v>0.0163</v>
      </c>
      <c r="K120" s="128">
        <v>0.0</v>
      </c>
      <c r="L120" s="128">
        <v>162.0</v>
      </c>
      <c r="M120" s="128">
        <v>0.62</v>
      </c>
    </row>
    <row r="121">
      <c r="A121" s="125" t="s">
        <v>470</v>
      </c>
      <c r="B121" s="137" t="s">
        <v>471</v>
      </c>
      <c r="C121" s="138" t="s">
        <v>435</v>
      </c>
      <c r="D121" s="128">
        <v>76.0</v>
      </c>
      <c r="E121" s="128">
        <v>72.47</v>
      </c>
      <c r="F121" s="128">
        <v>0.0</v>
      </c>
      <c r="G121" s="128">
        <v>0.0</v>
      </c>
      <c r="H121" s="128">
        <v>0.0</v>
      </c>
      <c r="I121" s="128">
        <v>11.0</v>
      </c>
      <c r="J121" s="128">
        <v>0.0645</v>
      </c>
      <c r="K121" s="128">
        <v>0.0</v>
      </c>
      <c r="L121" s="128">
        <v>119.0</v>
      </c>
      <c r="M121" s="128">
        <v>0.0</v>
      </c>
    </row>
    <row r="122">
      <c r="A122" s="125" t="s">
        <v>460</v>
      </c>
      <c r="B122" s="137" t="s">
        <v>461</v>
      </c>
      <c r="C122" s="138" t="s">
        <v>435</v>
      </c>
      <c r="D122" s="128">
        <v>55.0</v>
      </c>
      <c r="E122" s="128">
        <v>41.6</v>
      </c>
      <c r="F122" s="128">
        <v>0.0</v>
      </c>
      <c r="G122" s="128">
        <v>0.0</v>
      </c>
      <c r="H122" s="128">
        <v>0.0</v>
      </c>
      <c r="I122" s="128">
        <v>17.0</v>
      </c>
      <c r="J122" s="128">
        <v>0.0548</v>
      </c>
      <c r="K122" s="128">
        <v>0.0</v>
      </c>
      <c r="L122" s="128">
        <v>286.0</v>
      </c>
      <c r="M122" s="128">
        <v>1.4</v>
      </c>
    </row>
    <row r="123">
      <c r="A123" s="125" t="s">
        <v>454</v>
      </c>
      <c r="B123" s="137" t="s">
        <v>455</v>
      </c>
      <c r="C123" s="138" t="s">
        <v>435</v>
      </c>
      <c r="D123" s="128">
        <v>81.0</v>
      </c>
      <c r="E123" s="128">
        <v>41.48</v>
      </c>
      <c r="F123" s="128">
        <v>0.0</v>
      </c>
      <c r="G123" s="128">
        <v>0.0</v>
      </c>
      <c r="H123" s="128">
        <v>0.0</v>
      </c>
      <c r="I123" s="128">
        <v>16.0</v>
      </c>
      <c r="J123" s="128">
        <v>0.0774</v>
      </c>
      <c r="K123" s="128">
        <v>1.0</v>
      </c>
      <c r="L123" s="128">
        <v>170.0</v>
      </c>
      <c r="M123" s="128">
        <v>1.76</v>
      </c>
    </row>
    <row r="124">
      <c r="A124" s="125" t="s">
        <v>516</v>
      </c>
      <c r="B124" s="137" t="s">
        <v>517</v>
      </c>
      <c r="C124" s="138" t="s">
        <v>435</v>
      </c>
      <c r="D124" s="128">
        <v>18.0</v>
      </c>
      <c r="E124" s="128">
        <v>50.81</v>
      </c>
      <c r="F124" s="128">
        <v>-1.0</v>
      </c>
      <c r="G124" s="128">
        <v>0.0</v>
      </c>
      <c r="H124" s="128">
        <v>0.0</v>
      </c>
      <c r="I124" s="128">
        <v>13.0</v>
      </c>
      <c r="J124" s="128">
        <v>0.0213</v>
      </c>
      <c r="K124" s="128">
        <v>0.0</v>
      </c>
      <c r="L124" s="128">
        <v>192.0</v>
      </c>
      <c r="M124" s="128">
        <v>2.08</v>
      </c>
    </row>
    <row r="125">
      <c r="A125" s="125" t="s">
        <v>466</v>
      </c>
      <c r="B125" s="137" t="s">
        <v>467</v>
      </c>
      <c r="C125" s="138" t="s">
        <v>435</v>
      </c>
      <c r="D125" s="128">
        <v>86.0</v>
      </c>
      <c r="E125" s="128">
        <v>65.53</v>
      </c>
      <c r="F125" s="128">
        <v>-1.0</v>
      </c>
      <c r="G125" s="128">
        <v>0.0</v>
      </c>
      <c r="H125" s="128">
        <v>0.0</v>
      </c>
      <c r="I125" s="128">
        <v>12.0</v>
      </c>
      <c r="J125" s="128">
        <v>0.0957</v>
      </c>
      <c r="K125" s="128">
        <v>0.0</v>
      </c>
      <c r="L125" s="128">
        <v>207.0</v>
      </c>
      <c r="M125" s="128">
        <v>0.0</v>
      </c>
    </row>
    <row r="126">
      <c r="A126" s="57"/>
      <c r="C126" s="138"/>
    </row>
    <row r="127">
      <c r="A127" s="125" t="s">
        <v>556</v>
      </c>
      <c r="B127" s="137" t="s">
        <v>557</v>
      </c>
      <c r="C127" s="138" t="s">
        <v>434</v>
      </c>
      <c r="D127" s="128">
        <v>901.0</v>
      </c>
      <c r="E127" s="128">
        <v>24.98</v>
      </c>
      <c r="F127" s="128">
        <v>753.0</v>
      </c>
      <c r="G127" s="128">
        <v>350.0</v>
      </c>
      <c r="H127" s="128">
        <v>37.0</v>
      </c>
      <c r="I127" s="128">
        <v>19610.0</v>
      </c>
      <c r="J127" s="128">
        <v>1225.9676</v>
      </c>
      <c r="K127" s="128">
        <v>420.0</v>
      </c>
      <c r="L127" s="128">
        <v>161950.0</v>
      </c>
      <c r="M127" s="128">
        <v>9.62</v>
      </c>
    </row>
    <row r="128">
      <c r="A128" s="125" t="s">
        <v>522</v>
      </c>
      <c r="B128" s="137" t="s">
        <v>523</v>
      </c>
      <c r="C128" s="138" t="s">
        <v>434</v>
      </c>
      <c r="D128" s="128">
        <v>666.0</v>
      </c>
      <c r="E128" s="128">
        <v>31.23</v>
      </c>
      <c r="F128" s="128">
        <v>541.0</v>
      </c>
      <c r="G128" s="128">
        <v>385.0</v>
      </c>
      <c r="H128" s="128">
        <v>17.0</v>
      </c>
      <c r="I128" s="128">
        <v>31846.0</v>
      </c>
      <c r="J128" s="128">
        <v>1839.9304</v>
      </c>
      <c r="K128" s="128">
        <v>505.0</v>
      </c>
      <c r="L128" s="128">
        <v>319160.0</v>
      </c>
      <c r="M128" s="128">
        <v>7.68</v>
      </c>
    </row>
    <row r="129">
      <c r="A129" s="125" t="s">
        <v>558</v>
      </c>
      <c r="B129" s="137" t="s">
        <v>559</v>
      </c>
      <c r="C129" s="138" t="s">
        <v>434</v>
      </c>
      <c r="D129" s="128">
        <v>657.0</v>
      </c>
      <c r="E129" s="128">
        <v>31.19</v>
      </c>
      <c r="F129" s="128">
        <v>320.0</v>
      </c>
      <c r="G129" s="128">
        <v>101.0</v>
      </c>
      <c r="H129" s="128">
        <v>30.0</v>
      </c>
      <c r="I129" s="128">
        <v>6317.0</v>
      </c>
      <c r="J129" s="128">
        <v>359.5718</v>
      </c>
      <c r="K129" s="128">
        <v>67.0</v>
      </c>
      <c r="L129" s="128">
        <v>66737.0</v>
      </c>
      <c r="M129" s="128">
        <v>6.68</v>
      </c>
    </row>
    <row r="130">
      <c r="A130" s="125" t="s">
        <v>520</v>
      </c>
      <c r="B130" s="137" t="s">
        <v>521</v>
      </c>
      <c r="C130" s="138" t="s">
        <v>434</v>
      </c>
      <c r="D130" s="128">
        <v>739.0</v>
      </c>
      <c r="E130" s="128">
        <v>31.89</v>
      </c>
      <c r="F130" s="128">
        <v>187.0</v>
      </c>
      <c r="G130" s="128">
        <v>123.0</v>
      </c>
      <c r="H130" s="128">
        <v>4.0</v>
      </c>
      <c r="I130" s="128">
        <v>8264.0</v>
      </c>
      <c r="J130" s="128">
        <v>540.9778</v>
      </c>
      <c r="K130" s="128">
        <v>174.0</v>
      </c>
      <c r="L130" s="128">
        <v>112117.0</v>
      </c>
      <c r="M130" s="128">
        <v>5.59</v>
      </c>
    </row>
    <row r="131">
      <c r="A131" s="125" t="s">
        <v>560</v>
      </c>
      <c r="B131" s="137" t="s">
        <v>561</v>
      </c>
      <c r="C131" s="138" t="s">
        <v>434</v>
      </c>
      <c r="D131" s="128">
        <v>724.0</v>
      </c>
      <c r="E131" s="128">
        <v>33.76</v>
      </c>
      <c r="F131" s="128">
        <v>165.0</v>
      </c>
      <c r="G131" s="128">
        <v>88.0</v>
      </c>
      <c r="H131" s="128">
        <v>11.0</v>
      </c>
      <c r="I131" s="128">
        <v>3764.0</v>
      </c>
      <c r="J131" s="128">
        <v>255.5245</v>
      </c>
      <c r="K131" s="128">
        <v>49.0</v>
      </c>
      <c r="L131" s="128">
        <v>42205.0</v>
      </c>
      <c r="M131" s="128">
        <v>5.87</v>
      </c>
    </row>
    <row r="132">
      <c r="A132" s="125" t="s">
        <v>562</v>
      </c>
      <c r="B132" s="137" t="s">
        <v>563</v>
      </c>
      <c r="C132" s="138" t="s">
        <v>434</v>
      </c>
      <c r="D132" s="128">
        <v>44.0</v>
      </c>
      <c r="E132" s="128">
        <v>76.38</v>
      </c>
      <c r="F132" s="128">
        <v>165.0</v>
      </c>
      <c r="G132" s="128">
        <v>21.0</v>
      </c>
      <c r="H132" s="128">
        <v>3.0</v>
      </c>
      <c r="I132" s="128">
        <v>2442.0</v>
      </c>
      <c r="J132" s="128">
        <v>10.6464</v>
      </c>
      <c r="K132" s="128">
        <v>18.0</v>
      </c>
      <c r="L132" s="128">
        <v>3997.0</v>
      </c>
      <c r="M132" s="128">
        <v>4.08</v>
      </c>
    </row>
    <row r="133">
      <c r="A133" s="125" t="s">
        <v>564</v>
      </c>
      <c r="B133" s="137" t="s">
        <v>565</v>
      </c>
      <c r="C133" s="138" t="s">
        <v>434</v>
      </c>
      <c r="D133" s="128">
        <v>639.0</v>
      </c>
      <c r="E133" s="128">
        <v>28.7</v>
      </c>
      <c r="F133" s="128">
        <v>120.0</v>
      </c>
      <c r="G133" s="128">
        <v>49.0</v>
      </c>
      <c r="H133" s="128">
        <v>6.0</v>
      </c>
      <c r="I133" s="128">
        <v>2409.0</v>
      </c>
      <c r="J133" s="128">
        <v>122.7087</v>
      </c>
      <c r="K133" s="128">
        <v>50.0</v>
      </c>
      <c r="L133" s="128">
        <v>26151.0</v>
      </c>
      <c r="M133" s="128">
        <v>5.23</v>
      </c>
    </row>
    <row r="134">
      <c r="A134" s="125" t="s">
        <v>566</v>
      </c>
      <c r="B134" s="137" t="s">
        <v>567</v>
      </c>
      <c r="C134" s="138" t="s">
        <v>434</v>
      </c>
      <c r="D134" s="128">
        <v>485.0</v>
      </c>
      <c r="E134" s="128">
        <v>32.85</v>
      </c>
      <c r="F134" s="128">
        <v>119.0</v>
      </c>
      <c r="G134" s="128">
        <v>66.0</v>
      </c>
      <c r="H134" s="128">
        <v>3.0</v>
      </c>
      <c r="I134" s="128">
        <v>2609.0</v>
      </c>
      <c r="J134" s="128">
        <v>115.4664</v>
      </c>
      <c r="K134" s="128">
        <v>30.0</v>
      </c>
      <c r="L134" s="128">
        <v>31122.0</v>
      </c>
      <c r="M134" s="128">
        <v>5.15</v>
      </c>
    </row>
    <row r="135">
      <c r="A135" s="125" t="s">
        <v>568</v>
      </c>
      <c r="B135" s="137" t="s">
        <v>569</v>
      </c>
      <c r="C135" s="138" t="s">
        <v>434</v>
      </c>
      <c r="D135" s="128">
        <v>743.0</v>
      </c>
      <c r="E135" s="128">
        <v>31.43</v>
      </c>
      <c r="F135" s="128">
        <v>99.0</v>
      </c>
      <c r="G135" s="128">
        <v>48.0</v>
      </c>
      <c r="H135" s="128">
        <v>7.0</v>
      </c>
      <c r="I135" s="128">
        <v>2305.0</v>
      </c>
      <c r="J135" s="128">
        <v>149.5081</v>
      </c>
      <c r="K135" s="128">
        <v>32.0</v>
      </c>
      <c r="L135" s="128">
        <v>25360.0</v>
      </c>
      <c r="M135" s="128">
        <v>4.29</v>
      </c>
    </row>
    <row r="136">
      <c r="A136" s="125" t="s">
        <v>570</v>
      </c>
      <c r="B136" s="137" t="s">
        <v>571</v>
      </c>
      <c r="C136" s="138" t="s">
        <v>434</v>
      </c>
      <c r="D136" s="128">
        <v>55.0</v>
      </c>
      <c r="E136" s="128">
        <v>68.71</v>
      </c>
      <c r="F136" s="128">
        <v>95.0</v>
      </c>
      <c r="G136" s="128">
        <v>20.0</v>
      </c>
      <c r="H136" s="128">
        <v>1.0</v>
      </c>
      <c r="I136" s="128">
        <v>1798.0</v>
      </c>
      <c r="J136" s="128">
        <v>10.1559</v>
      </c>
      <c r="K136" s="128">
        <v>3.0</v>
      </c>
      <c r="L136" s="128">
        <v>6832.0</v>
      </c>
      <c r="M136" s="128">
        <v>5.3</v>
      </c>
    </row>
    <row r="137">
      <c r="A137" s="125" t="s">
        <v>572</v>
      </c>
      <c r="B137" s="137" t="s">
        <v>573</v>
      </c>
      <c r="C137" s="138" t="s">
        <v>434</v>
      </c>
      <c r="D137" s="128">
        <v>63.0</v>
      </c>
      <c r="E137" s="128">
        <v>66.85</v>
      </c>
      <c r="F137" s="128">
        <v>90.0</v>
      </c>
      <c r="G137" s="128">
        <v>25.0</v>
      </c>
      <c r="H137" s="128">
        <v>4.0</v>
      </c>
      <c r="I137" s="128">
        <v>1412.0</v>
      </c>
      <c r="J137" s="128">
        <v>10.1123</v>
      </c>
      <c r="K137" s="128">
        <v>3.0</v>
      </c>
      <c r="L137" s="128">
        <v>5240.0</v>
      </c>
      <c r="M137" s="128">
        <v>7.35</v>
      </c>
    </row>
    <row r="138">
      <c r="A138" s="125" t="s">
        <v>574</v>
      </c>
      <c r="B138" s="137" t="s">
        <v>575</v>
      </c>
      <c r="C138" s="138" t="s">
        <v>434</v>
      </c>
      <c r="D138" s="128">
        <v>76.0</v>
      </c>
      <c r="E138" s="128">
        <v>53.48</v>
      </c>
      <c r="F138" s="128">
        <v>83.0</v>
      </c>
      <c r="G138" s="128">
        <v>3.0</v>
      </c>
      <c r="H138" s="128">
        <v>0.0</v>
      </c>
      <c r="I138" s="128">
        <v>1211.0</v>
      </c>
      <c r="J138" s="128">
        <v>8.4805</v>
      </c>
      <c r="K138" s="128">
        <v>1.0</v>
      </c>
      <c r="L138" s="128">
        <v>6234.0</v>
      </c>
      <c r="M138" s="128">
        <v>6.51</v>
      </c>
    </row>
    <row r="139">
      <c r="A139" s="125" t="s">
        <v>524</v>
      </c>
      <c r="B139" s="137" t="s">
        <v>525</v>
      </c>
      <c r="C139" s="138" t="s">
        <v>434</v>
      </c>
      <c r="D139" s="128">
        <v>697.0</v>
      </c>
      <c r="E139" s="128">
        <v>33.34</v>
      </c>
      <c r="F139" s="128">
        <v>72.0</v>
      </c>
      <c r="G139" s="128">
        <v>24.0</v>
      </c>
      <c r="H139" s="128">
        <v>3.0</v>
      </c>
      <c r="I139" s="128">
        <v>1559.0</v>
      </c>
      <c r="J139" s="128">
        <v>100.6355</v>
      </c>
      <c r="K139" s="128">
        <v>29.0</v>
      </c>
      <c r="L139" s="128">
        <v>14868.0</v>
      </c>
      <c r="M139" s="128">
        <v>8.23</v>
      </c>
    </row>
    <row r="140">
      <c r="A140" s="125" t="s">
        <v>576</v>
      </c>
      <c r="B140" s="137" t="s">
        <v>577</v>
      </c>
      <c r="C140" s="138" t="s">
        <v>434</v>
      </c>
      <c r="D140" s="128">
        <v>69.0</v>
      </c>
      <c r="E140" s="128">
        <v>53.36</v>
      </c>
      <c r="F140" s="128">
        <v>69.0</v>
      </c>
      <c r="G140" s="128">
        <v>4.0</v>
      </c>
      <c r="H140" s="128">
        <v>1.0</v>
      </c>
      <c r="I140" s="128">
        <v>1243.0</v>
      </c>
      <c r="J140" s="128">
        <v>7.4698</v>
      </c>
      <c r="K140" s="128">
        <v>2.0</v>
      </c>
      <c r="L140" s="128">
        <v>5830.0</v>
      </c>
      <c r="M140" s="128">
        <v>6.69</v>
      </c>
    </row>
    <row r="141">
      <c r="A141" s="125" t="s">
        <v>578</v>
      </c>
      <c r="B141" s="137" t="s">
        <v>579</v>
      </c>
      <c r="C141" s="138" t="s">
        <v>434</v>
      </c>
      <c r="D141" s="128">
        <v>68.0</v>
      </c>
      <c r="E141" s="128">
        <v>88.92</v>
      </c>
      <c r="F141" s="128">
        <v>53.0</v>
      </c>
      <c r="G141" s="128">
        <v>8.0</v>
      </c>
      <c r="H141" s="128">
        <v>3.0</v>
      </c>
      <c r="I141" s="128">
        <v>1231.0</v>
      </c>
      <c r="J141" s="128">
        <v>12.4571</v>
      </c>
      <c r="K141" s="128">
        <v>1.0</v>
      </c>
      <c r="L141" s="128">
        <v>8456.0</v>
      </c>
      <c r="M141" s="128">
        <v>4.59</v>
      </c>
    </row>
    <row r="142">
      <c r="A142" s="125" t="s">
        <v>580</v>
      </c>
      <c r="B142" s="137" t="s">
        <v>581</v>
      </c>
      <c r="C142" s="138" t="s">
        <v>434</v>
      </c>
      <c r="D142" s="128">
        <v>56.0</v>
      </c>
      <c r="E142" s="128">
        <v>63.51</v>
      </c>
      <c r="F142" s="128">
        <v>52.0</v>
      </c>
      <c r="G142" s="128">
        <v>3.0</v>
      </c>
      <c r="H142" s="128">
        <v>0.0</v>
      </c>
      <c r="I142" s="128">
        <v>839.0</v>
      </c>
      <c r="J142" s="128">
        <v>5.0035</v>
      </c>
      <c r="K142" s="128">
        <v>0.0</v>
      </c>
      <c r="L142" s="128">
        <v>4809.0</v>
      </c>
      <c r="M142" s="128">
        <v>5.64</v>
      </c>
    </row>
    <row r="143">
      <c r="A143" s="125" t="s">
        <v>532</v>
      </c>
      <c r="B143" s="137" t="s">
        <v>533</v>
      </c>
      <c r="C143" s="138" t="s">
        <v>434</v>
      </c>
      <c r="D143" s="128">
        <v>162.0</v>
      </c>
      <c r="E143" s="128">
        <v>49.22</v>
      </c>
      <c r="F143" s="128">
        <v>27.0</v>
      </c>
      <c r="G143" s="128">
        <v>3.0</v>
      </c>
      <c r="H143" s="128">
        <v>0.0</v>
      </c>
      <c r="I143" s="128">
        <v>380.0</v>
      </c>
      <c r="J143" s="128">
        <v>4.0563</v>
      </c>
      <c r="K143" s="128">
        <v>1.0</v>
      </c>
      <c r="L143" s="128">
        <v>2959.0</v>
      </c>
      <c r="M143" s="128">
        <v>1.93</v>
      </c>
    </row>
    <row r="144">
      <c r="A144" s="125" t="s">
        <v>437</v>
      </c>
      <c r="B144" s="137" t="s">
        <v>438</v>
      </c>
      <c r="C144" s="138" t="s">
        <v>434</v>
      </c>
      <c r="D144" s="128">
        <v>623.0</v>
      </c>
      <c r="E144" s="128">
        <v>35.75</v>
      </c>
      <c r="F144" s="128">
        <v>13.0</v>
      </c>
      <c r="G144" s="128">
        <v>10.0</v>
      </c>
      <c r="H144" s="128">
        <v>0.0</v>
      </c>
      <c r="I144" s="128">
        <v>667.0</v>
      </c>
      <c r="J144" s="128">
        <v>41.2695</v>
      </c>
      <c r="K144" s="128">
        <v>20.0</v>
      </c>
      <c r="L144" s="128">
        <v>8988.0</v>
      </c>
      <c r="M144" s="128">
        <v>5.49</v>
      </c>
    </row>
    <row r="145">
      <c r="A145" s="125" t="s">
        <v>542</v>
      </c>
      <c r="B145" s="137" t="s">
        <v>543</v>
      </c>
      <c r="C145" s="138" t="s">
        <v>434</v>
      </c>
      <c r="D145" s="128">
        <v>52.0</v>
      </c>
      <c r="E145" s="128">
        <v>71.82</v>
      </c>
      <c r="F145" s="128">
        <v>12.0</v>
      </c>
      <c r="G145" s="128">
        <v>3.0</v>
      </c>
      <c r="H145" s="128">
        <v>0.0</v>
      </c>
      <c r="I145" s="128">
        <v>239.0</v>
      </c>
      <c r="J145" s="128">
        <v>1.3251</v>
      </c>
      <c r="K145" s="128">
        <v>0.0</v>
      </c>
      <c r="L145" s="128">
        <v>1465.0</v>
      </c>
      <c r="M145" s="128">
        <v>1.37</v>
      </c>
    </row>
    <row r="146">
      <c r="A146" s="125" t="s">
        <v>474</v>
      </c>
      <c r="B146" s="137" t="s">
        <v>475</v>
      </c>
      <c r="C146" s="138" t="s">
        <v>434</v>
      </c>
      <c r="D146" s="128">
        <v>630.0</v>
      </c>
      <c r="E146" s="128">
        <v>26.29</v>
      </c>
      <c r="F146" s="128">
        <v>5.0</v>
      </c>
      <c r="G146" s="128">
        <v>1.0</v>
      </c>
      <c r="H146" s="128">
        <v>1.0</v>
      </c>
      <c r="I146" s="128">
        <v>239.0</v>
      </c>
      <c r="J146" s="128">
        <v>10.9972</v>
      </c>
      <c r="K146" s="128">
        <v>2.0</v>
      </c>
      <c r="L146" s="128">
        <v>3978.0</v>
      </c>
      <c r="M146" s="128">
        <v>3.42</v>
      </c>
    </row>
    <row r="147">
      <c r="A147" s="125" t="s">
        <v>540</v>
      </c>
      <c r="B147" s="137" t="s">
        <v>541</v>
      </c>
      <c r="C147" s="138" t="s">
        <v>434</v>
      </c>
      <c r="D147" s="128">
        <v>56.0</v>
      </c>
      <c r="E147" s="128">
        <v>52.65</v>
      </c>
      <c r="F147" s="128">
        <v>4.0</v>
      </c>
      <c r="G147" s="128">
        <v>1.0</v>
      </c>
      <c r="H147" s="128">
        <v>0.0</v>
      </c>
      <c r="I147" s="128">
        <v>90.0</v>
      </c>
      <c r="J147" s="128">
        <v>0.421</v>
      </c>
      <c r="K147" s="128">
        <v>0.0</v>
      </c>
      <c r="L147" s="128">
        <v>1158.0</v>
      </c>
      <c r="M147" s="128">
        <v>2.07</v>
      </c>
    </row>
    <row r="148">
      <c r="A148" s="125" t="s">
        <v>506</v>
      </c>
      <c r="B148" s="137" t="s">
        <v>507</v>
      </c>
      <c r="C148" s="138" t="s">
        <v>434</v>
      </c>
      <c r="D148" s="128">
        <v>75.0</v>
      </c>
      <c r="E148" s="128">
        <v>63.68</v>
      </c>
      <c r="F148" s="128">
        <v>4.0</v>
      </c>
      <c r="G148" s="128">
        <v>0.0</v>
      </c>
      <c r="H148" s="128">
        <v>0.0</v>
      </c>
      <c r="I148" s="128">
        <v>48.0</v>
      </c>
      <c r="J148" s="128">
        <v>0.2866</v>
      </c>
      <c r="K148" s="128">
        <v>0.0</v>
      </c>
      <c r="L148" s="128">
        <v>172.0</v>
      </c>
      <c r="M148" s="128">
        <v>0.58</v>
      </c>
    </row>
    <row r="149">
      <c r="A149" s="125" t="s">
        <v>476</v>
      </c>
      <c r="B149" s="137" t="s">
        <v>477</v>
      </c>
      <c r="C149" s="138" t="s">
        <v>434</v>
      </c>
      <c r="D149" s="128">
        <v>647.0</v>
      </c>
      <c r="E149" s="128">
        <v>29.54</v>
      </c>
      <c r="F149" s="128">
        <v>3.0</v>
      </c>
      <c r="G149" s="128">
        <v>3.0</v>
      </c>
      <c r="H149" s="128">
        <v>0.0</v>
      </c>
      <c r="I149" s="128">
        <v>112.0</v>
      </c>
      <c r="J149" s="128">
        <v>5.9464</v>
      </c>
      <c r="K149" s="128">
        <v>3.0</v>
      </c>
      <c r="L149" s="128">
        <v>1578.0</v>
      </c>
      <c r="M149" s="128">
        <v>3.36</v>
      </c>
    </row>
    <row r="150">
      <c r="A150" s="125" t="s">
        <v>552</v>
      </c>
      <c r="B150" s="137" t="s">
        <v>553</v>
      </c>
      <c r="C150" s="138" t="s">
        <v>434</v>
      </c>
      <c r="D150" s="128">
        <v>54.0</v>
      </c>
      <c r="E150" s="128">
        <v>39.19</v>
      </c>
      <c r="F150" s="128">
        <v>3.0</v>
      </c>
      <c r="G150" s="128">
        <v>0.0</v>
      </c>
      <c r="H150" s="128">
        <v>0.0</v>
      </c>
      <c r="I150" s="128">
        <v>23.0</v>
      </c>
      <c r="J150" s="128">
        <v>0.0579</v>
      </c>
      <c r="K150" s="128">
        <v>0.0</v>
      </c>
      <c r="L150" s="128">
        <v>219.0</v>
      </c>
      <c r="M150" s="128">
        <v>1.37</v>
      </c>
    </row>
    <row r="151">
      <c r="A151" s="125" t="s">
        <v>534</v>
      </c>
      <c r="B151" s="137" t="s">
        <v>535</v>
      </c>
      <c r="C151" s="138" t="s">
        <v>434</v>
      </c>
      <c r="D151" s="128">
        <v>56.0</v>
      </c>
      <c r="E151" s="128">
        <v>61.43</v>
      </c>
      <c r="F151" s="128">
        <v>3.0</v>
      </c>
      <c r="G151" s="128">
        <v>1.0</v>
      </c>
      <c r="H151" s="128">
        <v>0.0</v>
      </c>
      <c r="I151" s="128">
        <v>74.0</v>
      </c>
      <c r="J151" s="128">
        <v>0.5148</v>
      </c>
      <c r="K151" s="128">
        <v>0.0</v>
      </c>
      <c r="L151" s="128">
        <v>336.0</v>
      </c>
      <c r="M151" s="128">
        <v>3.87</v>
      </c>
    </row>
    <row r="152">
      <c r="A152" s="125" t="s">
        <v>482</v>
      </c>
      <c r="B152" s="137" t="s">
        <v>483</v>
      </c>
      <c r="C152" s="138" t="s">
        <v>434</v>
      </c>
      <c r="D152" s="128">
        <v>586.0</v>
      </c>
      <c r="E152" s="128">
        <v>31.23</v>
      </c>
      <c r="F152" s="128">
        <v>3.0</v>
      </c>
      <c r="G152" s="128">
        <v>1.0</v>
      </c>
      <c r="H152" s="128">
        <v>0.0</v>
      </c>
      <c r="I152" s="128">
        <v>79.0</v>
      </c>
      <c r="J152" s="128">
        <v>4.0162</v>
      </c>
      <c r="K152" s="128">
        <v>2.0</v>
      </c>
      <c r="L152" s="128">
        <v>1288.0</v>
      </c>
      <c r="M152" s="128">
        <v>3.88</v>
      </c>
    </row>
    <row r="153">
      <c r="A153" s="125" t="s">
        <v>458</v>
      </c>
      <c r="B153" s="137" t="s">
        <v>459</v>
      </c>
      <c r="C153" s="138" t="s">
        <v>434</v>
      </c>
      <c r="D153" s="128">
        <v>51.0</v>
      </c>
      <c r="E153" s="128">
        <v>42.41</v>
      </c>
      <c r="F153" s="128">
        <v>2.0</v>
      </c>
      <c r="G153" s="128">
        <v>0.0</v>
      </c>
      <c r="H153" s="128">
        <v>0.0</v>
      </c>
      <c r="I153" s="128">
        <v>5.0</v>
      </c>
      <c r="J153" s="128">
        <v>0.0134</v>
      </c>
      <c r="K153" s="128">
        <v>0.0</v>
      </c>
      <c r="L153" s="128">
        <v>71.0</v>
      </c>
      <c r="M153" s="128">
        <v>0.0</v>
      </c>
    </row>
    <row r="154">
      <c r="A154" s="125" t="s">
        <v>536</v>
      </c>
      <c r="B154" s="137" t="s">
        <v>537</v>
      </c>
      <c r="C154" s="138" t="s">
        <v>434</v>
      </c>
      <c r="D154" s="128">
        <v>48.0</v>
      </c>
      <c r="E154" s="128">
        <v>63.45</v>
      </c>
      <c r="F154" s="128">
        <v>2.0</v>
      </c>
      <c r="G154" s="128">
        <v>2.0</v>
      </c>
      <c r="H154" s="128">
        <v>0.0</v>
      </c>
      <c r="I154" s="128">
        <v>57.0</v>
      </c>
      <c r="J154" s="128">
        <v>0.2066</v>
      </c>
      <c r="K154" s="128">
        <v>0.0</v>
      </c>
      <c r="L154" s="128">
        <v>577.0</v>
      </c>
      <c r="M154" s="128">
        <v>1.04</v>
      </c>
    </row>
    <row r="155">
      <c r="A155" s="125" t="s">
        <v>526</v>
      </c>
      <c r="B155" s="137" t="s">
        <v>527</v>
      </c>
      <c r="C155" s="138" t="s">
        <v>434</v>
      </c>
      <c r="D155" s="128">
        <v>815.0</v>
      </c>
      <c r="E155" s="128">
        <v>19.33</v>
      </c>
      <c r="F155" s="128">
        <v>2.0</v>
      </c>
      <c r="G155" s="128">
        <v>3.0</v>
      </c>
      <c r="H155" s="128">
        <v>0.0</v>
      </c>
      <c r="I155" s="128">
        <v>154.0</v>
      </c>
      <c r="J155" s="128">
        <v>6.7393</v>
      </c>
      <c r="K155" s="128">
        <v>1.0</v>
      </c>
      <c r="L155" s="128">
        <v>2774.0</v>
      </c>
      <c r="M155" s="128">
        <v>2.34</v>
      </c>
    </row>
    <row r="156">
      <c r="A156" s="125" t="s">
        <v>530</v>
      </c>
      <c r="B156" s="137" t="s">
        <v>531</v>
      </c>
      <c r="C156" s="138" t="s">
        <v>434</v>
      </c>
      <c r="D156" s="128">
        <v>651.0</v>
      </c>
      <c r="E156" s="128">
        <v>32.43</v>
      </c>
      <c r="F156" s="128">
        <v>2.0</v>
      </c>
      <c r="G156" s="128">
        <v>3.0</v>
      </c>
      <c r="H156" s="128">
        <v>0.0</v>
      </c>
      <c r="I156" s="128">
        <v>228.0</v>
      </c>
      <c r="J156" s="128">
        <v>13.3697</v>
      </c>
      <c r="K156" s="128">
        <v>4.0</v>
      </c>
      <c r="L156" s="128">
        <v>4099.0</v>
      </c>
      <c r="M156" s="128">
        <v>3.9</v>
      </c>
    </row>
    <row r="157">
      <c r="A157" s="125" t="s">
        <v>550</v>
      </c>
      <c r="B157" s="137" t="s">
        <v>551</v>
      </c>
      <c r="C157" s="138" t="s">
        <v>434</v>
      </c>
      <c r="D157" s="128">
        <v>63.0</v>
      </c>
      <c r="E157" s="128">
        <v>71.01</v>
      </c>
      <c r="F157" s="128">
        <v>2.0</v>
      </c>
      <c r="G157" s="128">
        <v>0.0</v>
      </c>
      <c r="H157" s="128">
        <v>0.0</v>
      </c>
      <c r="I157" s="128">
        <v>50.0</v>
      </c>
      <c r="J157" s="128">
        <v>0.2364</v>
      </c>
      <c r="K157" s="128">
        <v>0.0</v>
      </c>
      <c r="L157" s="128">
        <v>392.0</v>
      </c>
      <c r="M157" s="128">
        <v>2.3</v>
      </c>
    </row>
    <row r="158">
      <c r="A158" s="125" t="s">
        <v>480</v>
      </c>
      <c r="B158" s="137" t="s">
        <v>481</v>
      </c>
      <c r="C158" s="138" t="s">
        <v>434</v>
      </c>
      <c r="D158" s="128">
        <v>415.0</v>
      </c>
      <c r="E158" s="128">
        <v>37.35</v>
      </c>
      <c r="F158" s="128">
        <v>2.0</v>
      </c>
      <c r="G158" s="128">
        <v>5.0</v>
      </c>
      <c r="H158" s="128">
        <v>0.0</v>
      </c>
      <c r="I158" s="128">
        <v>252.0</v>
      </c>
      <c r="J158" s="128">
        <v>10.8498</v>
      </c>
      <c r="K158" s="128">
        <v>3.0</v>
      </c>
      <c r="L158" s="128">
        <v>2559.0</v>
      </c>
      <c r="M158" s="128">
        <v>7.35</v>
      </c>
    </row>
    <row r="159">
      <c r="A159" s="125" t="s">
        <v>484</v>
      </c>
      <c r="B159" s="137" t="s">
        <v>485</v>
      </c>
      <c r="C159" s="138" t="s">
        <v>434</v>
      </c>
      <c r="D159" s="128">
        <v>488.0</v>
      </c>
      <c r="E159" s="128">
        <v>27.69</v>
      </c>
      <c r="F159" s="128">
        <v>2.0</v>
      </c>
      <c r="G159" s="128">
        <v>0.0</v>
      </c>
      <c r="H159" s="128">
        <v>0.0</v>
      </c>
      <c r="I159" s="128">
        <v>52.0</v>
      </c>
      <c r="J159" s="128">
        <v>1.9516</v>
      </c>
      <c r="K159" s="128">
        <v>1.0</v>
      </c>
      <c r="L159" s="128">
        <v>1538.0</v>
      </c>
      <c r="M159" s="128">
        <v>2.15</v>
      </c>
    </row>
    <row r="160">
      <c r="A160" s="125" t="s">
        <v>510</v>
      </c>
      <c r="B160" s="137" t="s">
        <v>511</v>
      </c>
      <c r="C160" s="138" t="s">
        <v>434</v>
      </c>
      <c r="D160" s="128">
        <v>47.0</v>
      </c>
      <c r="E160" s="128">
        <v>74.42</v>
      </c>
      <c r="F160" s="128">
        <v>2.0</v>
      </c>
      <c r="G160" s="128">
        <v>1.0</v>
      </c>
      <c r="H160" s="128">
        <v>0.0</v>
      </c>
      <c r="I160" s="128">
        <v>53.0</v>
      </c>
      <c r="J160" s="128">
        <v>0.2348</v>
      </c>
      <c r="K160" s="128">
        <v>0.0</v>
      </c>
      <c r="L160" s="128">
        <v>145.0</v>
      </c>
      <c r="M160" s="128">
        <v>0.69</v>
      </c>
    </row>
    <row r="161">
      <c r="A161" s="125" t="s">
        <v>478</v>
      </c>
      <c r="B161" s="137" t="s">
        <v>479</v>
      </c>
      <c r="C161" s="138" t="s">
        <v>434</v>
      </c>
      <c r="D161" s="128">
        <v>86.0</v>
      </c>
      <c r="E161" s="128">
        <v>66.89</v>
      </c>
      <c r="F161" s="128">
        <v>1.0</v>
      </c>
      <c r="G161" s="128">
        <v>0.0</v>
      </c>
      <c r="H161" s="128">
        <v>0.0</v>
      </c>
      <c r="I161" s="128">
        <v>99.0</v>
      </c>
      <c r="J161" s="128">
        <v>1.159</v>
      </c>
      <c r="K161" s="128">
        <v>0.0</v>
      </c>
      <c r="L161" s="128">
        <v>595.0</v>
      </c>
      <c r="M161" s="128">
        <v>7.56</v>
      </c>
    </row>
    <row r="162">
      <c r="A162" s="125" t="s">
        <v>472</v>
      </c>
      <c r="B162" s="137" t="s">
        <v>473</v>
      </c>
      <c r="C162" s="138" t="s">
        <v>434</v>
      </c>
      <c r="D162" s="128">
        <v>58.0</v>
      </c>
      <c r="E162" s="128">
        <v>42.22</v>
      </c>
      <c r="F162" s="128">
        <v>1.0</v>
      </c>
      <c r="G162" s="128">
        <v>0.0</v>
      </c>
      <c r="H162" s="128">
        <v>0.0</v>
      </c>
      <c r="I162" s="128">
        <v>5.0</v>
      </c>
      <c r="J162" s="128">
        <v>0.0278</v>
      </c>
      <c r="K162" s="128">
        <v>0.0</v>
      </c>
      <c r="L162" s="128">
        <v>52.0</v>
      </c>
      <c r="M162" s="128">
        <v>3.85</v>
      </c>
    </row>
    <row r="163">
      <c r="A163" s="125" t="s">
        <v>508</v>
      </c>
      <c r="B163" s="137" t="s">
        <v>509</v>
      </c>
      <c r="C163" s="138" t="s">
        <v>434</v>
      </c>
      <c r="D163" s="128">
        <v>98.0</v>
      </c>
      <c r="E163" s="128">
        <v>43.98</v>
      </c>
      <c r="F163" s="128">
        <v>1.0</v>
      </c>
      <c r="G163" s="128">
        <v>0.0</v>
      </c>
      <c r="H163" s="128">
        <v>0.0</v>
      </c>
      <c r="I163" s="128">
        <v>8.0</v>
      </c>
      <c r="J163" s="128">
        <v>0.0602</v>
      </c>
      <c r="K163" s="128">
        <v>0.0</v>
      </c>
      <c r="L163" s="128">
        <v>135.0</v>
      </c>
      <c r="M163" s="128">
        <v>3.7</v>
      </c>
    </row>
    <row r="164">
      <c r="A164" s="125" t="s">
        <v>544</v>
      </c>
      <c r="B164" s="137" t="s">
        <v>545</v>
      </c>
      <c r="C164" s="138" t="s">
        <v>434</v>
      </c>
      <c r="D164" s="128">
        <v>65.0</v>
      </c>
      <c r="E164" s="128">
        <v>70.18</v>
      </c>
      <c r="F164" s="128">
        <v>1.0</v>
      </c>
      <c r="G164" s="128">
        <v>0.0</v>
      </c>
      <c r="H164" s="128">
        <v>0.0</v>
      </c>
      <c r="I164" s="128">
        <v>29.0</v>
      </c>
      <c r="J164" s="128">
        <v>0.1586</v>
      </c>
      <c r="K164" s="128">
        <v>0.0</v>
      </c>
      <c r="L164" s="128">
        <v>281.0</v>
      </c>
      <c r="M164" s="128">
        <v>0.36</v>
      </c>
    </row>
    <row r="165">
      <c r="A165" s="125" t="s">
        <v>528</v>
      </c>
      <c r="B165" s="137" t="s">
        <v>529</v>
      </c>
      <c r="C165" s="138" t="s">
        <v>434</v>
      </c>
      <c r="D165" s="128">
        <v>703.0</v>
      </c>
      <c r="E165" s="128">
        <v>15.33</v>
      </c>
      <c r="F165" s="128">
        <v>1.0</v>
      </c>
      <c r="G165" s="128">
        <v>0.0</v>
      </c>
      <c r="H165" s="128">
        <v>0.0</v>
      </c>
      <c r="I165" s="128">
        <v>154.0</v>
      </c>
      <c r="J165" s="128">
        <v>4.6102</v>
      </c>
      <c r="K165" s="128">
        <v>1.0</v>
      </c>
      <c r="L165" s="128">
        <v>3801.0</v>
      </c>
      <c r="M165" s="128">
        <v>2.16</v>
      </c>
    </row>
    <row r="166">
      <c r="A166" s="125" t="s">
        <v>546</v>
      </c>
      <c r="B166" s="137" t="s">
        <v>547</v>
      </c>
      <c r="C166" s="138" t="s">
        <v>434</v>
      </c>
      <c r="D166" s="128">
        <v>77.0</v>
      </c>
      <c r="E166" s="128">
        <v>40.94</v>
      </c>
      <c r="F166" s="128">
        <v>1.0</v>
      </c>
      <c r="G166" s="128">
        <v>3.0</v>
      </c>
      <c r="H166" s="128">
        <v>1.0</v>
      </c>
      <c r="I166" s="128">
        <v>60.0</v>
      </c>
      <c r="J166" s="128">
        <v>0.2577</v>
      </c>
      <c r="K166" s="128">
        <v>0.0</v>
      </c>
      <c r="L166" s="128">
        <v>746.0</v>
      </c>
      <c r="M166" s="128">
        <v>0.4</v>
      </c>
    </row>
    <row r="167">
      <c r="A167" s="125" t="s">
        <v>488</v>
      </c>
      <c r="B167" s="137" t="s">
        <v>489</v>
      </c>
      <c r="C167" s="138" t="s">
        <v>434</v>
      </c>
      <c r="D167" s="128">
        <v>68.0</v>
      </c>
      <c r="E167" s="128">
        <v>54.66</v>
      </c>
      <c r="F167" s="128">
        <v>1.0</v>
      </c>
      <c r="G167" s="128">
        <v>0.0</v>
      </c>
      <c r="H167" s="128">
        <v>0.0</v>
      </c>
      <c r="I167" s="128">
        <v>11.0</v>
      </c>
      <c r="J167" s="128">
        <v>0.0935</v>
      </c>
      <c r="K167" s="128">
        <v>0.0</v>
      </c>
      <c r="L167" s="128">
        <v>188.0</v>
      </c>
      <c r="M167" s="128">
        <v>3.19</v>
      </c>
    </row>
    <row r="168">
      <c r="A168" s="125" t="s">
        <v>514</v>
      </c>
      <c r="B168" s="137" t="s">
        <v>515</v>
      </c>
      <c r="C168" s="138" t="s">
        <v>434</v>
      </c>
      <c r="D168" s="128">
        <v>45.0</v>
      </c>
      <c r="E168" s="128">
        <v>69.86</v>
      </c>
      <c r="F168" s="128">
        <v>1.0</v>
      </c>
      <c r="G168" s="128">
        <v>0.0</v>
      </c>
      <c r="H168" s="128">
        <v>0.0</v>
      </c>
      <c r="I168" s="128">
        <v>40.0</v>
      </c>
      <c r="J168" s="128">
        <v>0.1645</v>
      </c>
      <c r="K168" s="128">
        <v>0.0</v>
      </c>
      <c r="L168" s="128">
        <v>193.0</v>
      </c>
      <c r="M168" s="128">
        <v>3.11</v>
      </c>
    </row>
    <row r="169">
      <c r="A169" s="125" t="s">
        <v>440</v>
      </c>
      <c r="B169" s="137" t="s">
        <v>441</v>
      </c>
      <c r="C169" s="138" t="s">
        <v>434</v>
      </c>
      <c r="D169" s="128">
        <v>503.0</v>
      </c>
      <c r="E169" s="128">
        <v>44.08</v>
      </c>
      <c r="F169" s="128">
        <v>1.0</v>
      </c>
      <c r="G169" s="128">
        <v>2.0</v>
      </c>
      <c r="H169" s="128">
        <v>0.0</v>
      </c>
      <c r="I169" s="128">
        <v>59.0</v>
      </c>
      <c r="J169" s="128">
        <v>3.6334</v>
      </c>
      <c r="K169" s="128">
        <v>0.0</v>
      </c>
      <c r="L169" s="128">
        <v>1135.0</v>
      </c>
      <c r="M169" s="128">
        <v>3.17</v>
      </c>
    </row>
    <row r="170">
      <c r="A170" s="125" t="s">
        <v>497</v>
      </c>
      <c r="B170" s="137" t="s">
        <v>498</v>
      </c>
      <c r="C170" s="138" t="s">
        <v>434</v>
      </c>
      <c r="D170" s="128">
        <v>48.0</v>
      </c>
      <c r="E170" s="128">
        <v>66.37</v>
      </c>
      <c r="F170" s="128">
        <v>1.0</v>
      </c>
      <c r="G170" s="128">
        <v>0.0</v>
      </c>
      <c r="H170" s="128">
        <v>0.0</v>
      </c>
      <c r="I170" s="128">
        <v>16.0</v>
      </c>
      <c r="J170" s="128">
        <v>0.1005</v>
      </c>
      <c r="K170" s="128">
        <v>0.0</v>
      </c>
      <c r="L170" s="128">
        <v>197.0</v>
      </c>
      <c r="M170" s="128">
        <v>3.55</v>
      </c>
    </row>
    <row r="171">
      <c r="A171" s="125" t="s">
        <v>504</v>
      </c>
      <c r="B171" s="137" t="s">
        <v>505</v>
      </c>
      <c r="C171" s="138" t="s">
        <v>434</v>
      </c>
      <c r="D171" s="128">
        <v>60.0</v>
      </c>
      <c r="E171" s="128">
        <v>65.16</v>
      </c>
      <c r="F171" s="128">
        <v>1.0</v>
      </c>
      <c r="G171" s="128">
        <v>0.0</v>
      </c>
      <c r="H171" s="128">
        <v>0.0</v>
      </c>
      <c r="I171" s="128">
        <v>7.0</v>
      </c>
      <c r="J171" s="128">
        <v>0.0656</v>
      </c>
      <c r="K171" s="128">
        <v>0.0</v>
      </c>
      <c r="L171" s="128">
        <v>121.0</v>
      </c>
      <c r="M171" s="128">
        <v>2.48</v>
      </c>
    </row>
    <row r="172">
      <c r="A172" s="125" t="s">
        <v>450</v>
      </c>
      <c r="B172" s="137" t="s">
        <v>451</v>
      </c>
      <c r="C172" s="138" t="s">
        <v>434</v>
      </c>
      <c r="D172" s="128">
        <v>93.0</v>
      </c>
      <c r="E172" s="128">
        <v>56.99</v>
      </c>
      <c r="F172" s="128">
        <v>1.0</v>
      </c>
      <c r="G172" s="128">
        <v>0.0</v>
      </c>
      <c r="H172" s="128">
        <v>0.0</v>
      </c>
      <c r="I172" s="128">
        <v>9.0</v>
      </c>
      <c r="J172" s="128">
        <v>0.0754</v>
      </c>
      <c r="K172" s="128">
        <v>0.0</v>
      </c>
      <c r="L172" s="128">
        <v>104.0</v>
      </c>
      <c r="M172" s="128">
        <v>2.88</v>
      </c>
    </row>
    <row r="173">
      <c r="A173" s="125" t="s">
        <v>456</v>
      </c>
      <c r="B173" s="137" t="s">
        <v>457</v>
      </c>
      <c r="C173" s="138" t="s">
        <v>434</v>
      </c>
      <c r="D173" s="128">
        <v>61.0</v>
      </c>
      <c r="E173" s="128">
        <v>33.7</v>
      </c>
      <c r="F173" s="128">
        <v>1.0</v>
      </c>
      <c r="G173" s="128">
        <v>0.0</v>
      </c>
      <c r="H173" s="128">
        <v>0.0</v>
      </c>
      <c r="I173" s="128">
        <v>6.0</v>
      </c>
      <c r="J173" s="128">
        <v>0.0183</v>
      </c>
      <c r="K173" s="128">
        <v>0.0</v>
      </c>
      <c r="L173" s="128">
        <v>70.0</v>
      </c>
      <c r="M173" s="128">
        <v>0.0</v>
      </c>
    </row>
    <row r="174">
      <c r="A174" s="125" t="s">
        <v>460</v>
      </c>
      <c r="B174" s="137" t="s">
        <v>461</v>
      </c>
      <c r="C174" s="138" t="s">
        <v>434</v>
      </c>
      <c r="D174" s="128">
        <v>55.0</v>
      </c>
      <c r="E174" s="128">
        <v>82.14</v>
      </c>
      <c r="F174" s="128">
        <v>1.0</v>
      </c>
      <c r="G174" s="128">
        <v>1.0</v>
      </c>
      <c r="H174" s="128">
        <v>1.0</v>
      </c>
      <c r="I174" s="128">
        <v>21.0</v>
      </c>
      <c r="J174" s="128">
        <v>0.1527</v>
      </c>
      <c r="K174" s="128">
        <v>0.0</v>
      </c>
      <c r="L174" s="128">
        <v>197.0</v>
      </c>
      <c r="M174" s="128">
        <v>3.05</v>
      </c>
    </row>
    <row r="175">
      <c r="A175" s="125" t="s">
        <v>468</v>
      </c>
      <c r="B175" s="137" t="s">
        <v>469</v>
      </c>
      <c r="C175" s="138" t="s">
        <v>434</v>
      </c>
      <c r="D175" s="128">
        <v>66.0</v>
      </c>
      <c r="E175" s="128">
        <v>98.03</v>
      </c>
      <c r="F175" s="128">
        <v>1.0</v>
      </c>
      <c r="G175" s="128">
        <v>0.0</v>
      </c>
      <c r="H175" s="128">
        <v>0.0</v>
      </c>
      <c r="I175" s="128">
        <v>3.0</v>
      </c>
      <c r="J175" s="128">
        <v>0.0182</v>
      </c>
      <c r="K175" s="128">
        <v>0.0</v>
      </c>
      <c r="L175" s="128">
        <v>79.0</v>
      </c>
      <c r="M175" s="128">
        <v>1.27</v>
      </c>
    </row>
    <row r="176">
      <c r="A176" s="125" t="s">
        <v>462</v>
      </c>
      <c r="B176" s="137" t="s">
        <v>463</v>
      </c>
      <c r="C176" s="138" t="s">
        <v>434</v>
      </c>
      <c r="D176" s="128">
        <v>64.0</v>
      </c>
      <c r="E176" s="128">
        <v>75.36</v>
      </c>
      <c r="F176" s="128">
        <v>1.0</v>
      </c>
      <c r="G176" s="128">
        <v>0.0</v>
      </c>
      <c r="H176" s="128">
        <v>0.0</v>
      </c>
      <c r="I176" s="128">
        <v>6.0</v>
      </c>
      <c r="J176" s="128">
        <v>0.0414</v>
      </c>
      <c r="K176" s="128">
        <v>0.0</v>
      </c>
      <c r="L176" s="128">
        <v>64.0</v>
      </c>
      <c r="M176" s="128">
        <v>3.13</v>
      </c>
    </row>
    <row r="177">
      <c r="A177" s="125" t="s">
        <v>454</v>
      </c>
      <c r="B177" s="137" t="s">
        <v>455</v>
      </c>
      <c r="C177" s="138" t="s">
        <v>434</v>
      </c>
      <c r="D177" s="128">
        <v>81.0</v>
      </c>
      <c r="E177" s="128">
        <v>46.85</v>
      </c>
      <c r="F177" s="128">
        <v>1.0</v>
      </c>
      <c r="G177" s="128">
        <v>0.0</v>
      </c>
      <c r="H177" s="128">
        <v>0.0</v>
      </c>
      <c r="I177" s="128">
        <v>5.0</v>
      </c>
      <c r="J177" s="128">
        <v>0.0217</v>
      </c>
      <c r="K177" s="128">
        <v>0.0</v>
      </c>
      <c r="L177" s="128">
        <v>81.0</v>
      </c>
      <c r="M177" s="128">
        <v>1.23</v>
      </c>
    </row>
    <row r="178">
      <c r="A178" s="125" t="s">
        <v>452</v>
      </c>
      <c r="B178" s="137" t="s">
        <v>453</v>
      </c>
      <c r="C178" s="138" t="s">
        <v>434</v>
      </c>
      <c r="D178" s="128">
        <v>80.0</v>
      </c>
      <c r="E178" s="128">
        <v>41.46</v>
      </c>
      <c r="F178" s="128">
        <v>0.0</v>
      </c>
      <c r="G178" s="128">
        <v>0.0</v>
      </c>
      <c r="H178" s="128">
        <v>0.0</v>
      </c>
      <c r="I178" s="128">
        <v>9.0</v>
      </c>
      <c r="J178" s="128">
        <v>0.0647</v>
      </c>
      <c r="K178" s="128">
        <v>0.0</v>
      </c>
      <c r="L178" s="128">
        <v>90.0</v>
      </c>
      <c r="M178" s="128">
        <v>4.44</v>
      </c>
    </row>
    <row r="179">
      <c r="A179" s="125" t="s">
        <v>444</v>
      </c>
      <c r="B179" s="137" t="s">
        <v>445</v>
      </c>
      <c r="C179" s="138" t="s">
        <v>434</v>
      </c>
      <c r="D179" s="128">
        <v>530.0</v>
      </c>
      <c r="E179" s="128">
        <v>33.85</v>
      </c>
      <c r="F179" s="128">
        <v>0.0</v>
      </c>
      <c r="G179" s="128">
        <v>0.0</v>
      </c>
      <c r="H179" s="128">
        <v>1.0</v>
      </c>
      <c r="I179" s="128">
        <v>24.0</v>
      </c>
      <c r="J179" s="128">
        <v>1.196</v>
      </c>
      <c r="K179" s="128">
        <v>0.0</v>
      </c>
      <c r="L179" s="128">
        <v>769.0</v>
      </c>
      <c r="M179" s="128">
        <v>1.3</v>
      </c>
    </row>
    <row r="180">
      <c r="A180" s="125" t="s">
        <v>512</v>
      </c>
      <c r="B180" s="137" t="s">
        <v>513</v>
      </c>
      <c r="C180" s="138" t="s">
        <v>434</v>
      </c>
      <c r="D180" s="128">
        <v>50.0</v>
      </c>
      <c r="E180" s="128">
        <v>61.48</v>
      </c>
      <c r="F180" s="128">
        <v>0.0</v>
      </c>
      <c r="G180" s="128">
        <v>0.0</v>
      </c>
      <c r="H180" s="128">
        <v>0.0</v>
      </c>
      <c r="I180" s="128">
        <v>9.0</v>
      </c>
      <c r="J180" s="128">
        <v>0.0431</v>
      </c>
      <c r="K180" s="128">
        <v>0.0</v>
      </c>
      <c r="L180" s="128">
        <v>98.0</v>
      </c>
      <c r="M180" s="128">
        <v>2.04</v>
      </c>
    </row>
    <row r="181">
      <c r="A181" s="125" t="s">
        <v>538</v>
      </c>
      <c r="B181" s="137" t="s">
        <v>539</v>
      </c>
      <c r="C181" s="138" t="s">
        <v>434</v>
      </c>
      <c r="D181" s="128">
        <v>74.0</v>
      </c>
      <c r="E181" s="128">
        <v>58.69</v>
      </c>
      <c r="F181" s="128">
        <v>0.0</v>
      </c>
      <c r="G181" s="128">
        <v>0.0</v>
      </c>
      <c r="H181" s="128">
        <v>0.0</v>
      </c>
      <c r="I181" s="128">
        <v>43.0</v>
      </c>
      <c r="J181" s="128">
        <v>0.2856</v>
      </c>
      <c r="K181" s="128">
        <v>1.0</v>
      </c>
      <c r="L181" s="128">
        <v>431.0</v>
      </c>
      <c r="M181" s="128">
        <v>2.32</v>
      </c>
    </row>
    <row r="182">
      <c r="A182" s="125" t="s">
        <v>464</v>
      </c>
      <c r="B182" s="137" t="s">
        <v>465</v>
      </c>
      <c r="C182" s="138" t="s">
        <v>434</v>
      </c>
      <c r="D182" s="128">
        <v>58.0</v>
      </c>
      <c r="E182" s="128">
        <v>52.8</v>
      </c>
      <c r="F182" s="128">
        <v>0.0</v>
      </c>
      <c r="G182" s="128">
        <v>0.0</v>
      </c>
      <c r="H182" s="128">
        <v>0.0</v>
      </c>
      <c r="I182" s="128">
        <v>8.0</v>
      </c>
      <c r="J182" s="128">
        <v>0.0348</v>
      </c>
      <c r="K182" s="128">
        <v>0.0</v>
      </c>
      <c r="L182" s="128">
        <v>54.0</v>
      </c>
      <c r="M182" s="128">
        <v>3.7</v>
      </c>
    </row>
    <row r="183">
      <c r="A183" s="125" t="s">
        <v>503</v>
      </c>
      <c r="B183" s="137" t="s">
        <v>500</v>
      </c>
      <c r="C183" s="138" t="s">
        <v>434</v>
      </c>
      <c r="D183" s="128">
        <v>444.0</v>
      </c>
      <c r="E183" s="128">
        <v>29.31</v>
      </c>
      <c r="F183" s="128">
        <v>0.0</v>
      </c>
      <c r="G183" s="128">
        <v>0.0</v>
      </c>
      <c r="H183" s="128">
        <v>0.0</v>
      </c>
      <c r="I183" s="128">
        <v>29.0</v>
      </c>
      <c r="J183" s="128">
        <v>1.0482</v>
      </c>
      <c r="K183" s="128">
        <v>0.0</v>
      </c>
      <c r="L183" s="128">
        <v>710.0</v>
      </c>
      <c r="M183" s="128">
        <v>2.25</v>
      </c>
    </row>
    <row r="184">
      <c r="A184" s="125" t="s">
        <v>495</v>
      </c>
      <c r="B184" s="137" t="s">
        <v>496</v>
      </c>
      <c r="C184" s="138" t="s">
        <v>434</v>
      </c>
      <c r="D184" s="128">
        <v>63.0</v>
      </c>
      <c r="E184" s="128">
        <v>62.62</v>
      </c>
      <c r="F184" s="128">
        <v>0.0</v>
      </c>
      <c r="G184" s="128">
        <v>0.0</v>
      </c>
      <c r="H184" s="128">
        <v>0.0</v>
      </c>
      <c r="I184" s="128">
        <v>7.0</v>
      </c>
      <c r="J184" s="128">
        <v>0.0456</v>
      </c>
      <c r="K184" s="128">
        <v>0.0</v>
      </c>
      <c r="L184" s="128">
        <v>119.0</v>
      </c>
      <c r="M184" s="128">
        <v>0.84</v>
      </c>
    </row>
    <row r="185">
      <c r="A185" s="125" t="s">
        <v>486</v>
      </c>
      <c r="B185" s="137" t="s">
        <v>487</v>
      </c>
      <c r="C185" s="138" t="s">
        <v>434</v>
      </c>
      <c r="D185" s="128">
        <v>568.0</v>
      </c>
      <c r="E185" s="128">
        <v>33.22</v>
      </c>
      <c r="F185" s="128">
        <v>0.0</v>
      </c>
      <c r="G185" s="128">
        <v>0.0</v>
      </c>
      <c r="H185" s="128">
        <v>0.0</v>
      </c>
      <c r="I185" s="128">
        <v>22.0</v>
      </c>
      <c r="J185" s="128">
        <v>1.1532</v>
      </c>
      <c r="K185" s="128">
        <v>0.0</v>
      </c>
      <c r="L185" s="128">
        <v>1167.0</v>
      </c>
      <c r="M185" s="128">
        <v>1.71</v>
      </c>
    </row>
    <row r="186">
      <c r="A186" s="125" t="s">
        <v>499</v>
      </c>
      <c r="B186" s="137" t="s">
        <v>500</v>
      </c>
      <c r="C186" s="138" t="s">
        <v>434</v>
      </c>
      <c r="D186" s="128">
        <v>105.0</v>
      </c>
      <c r="E186" s="63" t="s">
        <v>426</v>
      </c>
      <c r="F186" s="128">
        <v>0.0</v>
      </c>
      <c r="G186" s="128">
        <v>0.0</v>
      </c>
      <c r="H186" s="128">
        <v>0.0</v>
      </c>
      <c r="I186" s="128">
        <v>2.0</v>
      </c>
      <c r="J186" s="128">
        <v>0.0016</v>
      </c>
      <c r="K186" s="128">
        <v>0.0</v>
      </c>
      <c r="L186" s="128">
        <v>104.0</v>
      </c>
      <c r="M186" s="128">
        <v>0.0</v>
      </c>
    </row>
    <row r="187">
      <c r="A187" s="125" t="s">
        <v>448</v>
      </c>
      <c r="B187" s="137" t="s">
        <v>449</v>
      </c>
      <c r="C187" s="138" t="s">
        <v>434</v>
      </c>
      <c r="D187" s="128">
        <v>915.0</v>
      </c>
      <c r="E187" s="128">
        <v>0.69</v>
      </c>
      <c r="F187" s="128">
        <v>0.0</v>
      </c>
      <c r="G187" s="128">
        <v>0.0</v>
      </c>
      <c r="H187" s="128">
        <v>0.0</v>
      </c>
      <c r="I187" s="128">
        <v>3.0</v>
      </c>
      <c r="J187" s="128">
        <v>0.0053</v>
      </c>
      <c r="K187" s="128">
        <v>0.0</v>
      </c>
      <c r="L187" s="128">
        <v>639.0</v>
      </c>
      <c r="M187" s="128">
        <v>0.0</v>
      </c>
    </row>
    <row r="188">
      <c r="A188" s="125" t="s">
        <v>493</v>
      </c>
      <c r="B188" s="137" t="s">
        <v>494</v>
      </c>
      <c r="C188" s="138" t="s">
        <v>434</v>
      </c>
      <c r="D188" s="128">
        <v>60.0</v>
      </c>
      <c r="E188" s="128">
        <v>28.73</v>
      </c>
      <c r="F188" s="128">
        <v>0.0</v>
      </c>
      <c r="G188" s="128">
        <v>0.0</v>
      </c>
      <c r="H188" s="128">
        <v>0.0</v>
      </c>
      <c r="I188" s="128">
        <v>42.0</v>
      </c>
      <c r="J188" s="128">
        <v>0.1019</v>
      </c>
      <c r="K188" s="128">
        <v>0.0</v>
      </c>
      <c r="L188" s="128">
        <v>157.0</v>
      </c>
      <c r="M188" s="128">
        <v>1.27</v>
      </c>
    </row>
    <row r="189">
      <c r="A189" s="125" t="s">
        <v>516</v>
      </c>
      <c r="B189" s="137" t="s">
        <v>517</v>
      </c>
      <c r="C189" s="138" t="s">
        <v>434</v>
      </c>
      <c r="D189" s="128">
        <v>18.0</v>
      </c>
      <c r="E189" s="128">
        <v>77.22</v>
      </c>
      <c r="F189" s="128">
        <v>0.0</v>
      </c>
      <c r="G189" s="128">
        <v>0.0</v>
      </c>
      <c r="H189" s="128">
        <v>0.0</v>
      </c>
      <c r="I189" s="128">
        <v>4.0</v>
      </c>
      <c r="J189" s="128">
        <v>0.0042</v>
      </c>
      <c r="K189" s="128">
        <v>0.0</v>
      </c>
      <c r="L189" s="128">
        <v>74.0</v>
      </c>
      <c r="M189" s="128">
        <v>1.35</v>
      </c>
    </row>
    <row r="190">
      <c r="A190" s="125" t="s">
        <v>470</v>
      </c>
      <c r="B190" s="137" t="s">
        <v>471</v>
      </c>
      <c r="C190" s="138" t="s">
        <v>434</v>
      </c>
      <c r="D190" s="128">
        <v>76.0</v>
      </c>
      <c r="E190" s="128">
        <v>8.95</v>
      </c>
      <c r="F190" s="128">
        <v>0.0</v>
      </c>
      <c r="G190" s="128">
        <v>0.0</v>
      </c>
      <c r="H190" s="128">
        <v>0.0</v>
      </c>
      <c r="I190" s="128">
        <v>3.0</v>
      </c>
      <c r="J190" s="128">
        <v>0.0023</v>
      </c>
      <c r="K190" s="128">
        <v>0.0</v>
      </c>
      <c r="L190" s="128">
        <v>48.0</v>
      </c>
      <c r="M190" s="128">
        <v>2.08</v>
      </c>
    </row>
    <row r="191">
      <c r="A191" s="125" t="s">
        <v>446</v>
      </c>
      <c r="B191" s="137" t="s">
        <v>447</v>
      </c>
      <c r="C191" s="138" t="s">
        <v>434</v>
      </c>
      <c r="D191" s="128">
        <v>582.0</v>
      </c>
      <c r="E191" s="128">
        <v>22.18</v>
      </c>
      <c r="F191" s="128">
        <v>0.0</v>
      </c>
      <c r="G191" s="128">
        <v>0.0</v>
      </c>
      <c r="H191" s="128">
        <v>0.0</v>
      </c>
      <c r="I191" s="128">
        <v>27.0</v>
      </c>
      <c r="J191" s="128">
        <v>0.9682</v>
      </c>
      <c r="K191" s="128">
        <v>0.0</v>
      </c>
      <c r="L191" s="128">
        <v>383.0</v>
      </c>
      <c r="M191" s="128">
        <v>3.39</v>
      </c>
    </row>
    <row r="192">
      <c r="A192" s="125" t="s">
        <v>466</v>
      </c>
      <c r="B192" s="137" t="s">
        <v>467</v>
      </c>
      <c r="C192" s="138" t="s">
        <v>434</v>
      </c>
      <c r="D192" s="128">
        <v>86.0</v>
      </c>
      <c r="E192" s="128">
        <v>88.26</v>
      </c>
      <c r="F192" s="128">
        <v>0.0</v>
      </c>
      <c r="G192" s="128">
        <v>0.0</v>
      </c>
      <c r="H192" s="128">
        <v>0.0</v>
      </c>
      <c r="I192" s="128">
        <v>4.0</v>
      </c>
      <c r="J192" s="128">
        <v>0.0216</v>
      </c>
      <c r="K192" s="128">
        <v>0.0</v>
      </c>
      <c r="L192" s="128">
        <v>94.0</v>
      </c>
      <c r="M192" s="128">
        <v>1.06</v>
      </c>
    </row>
    <row r="193">
      <c r="A193" s="125" t="s">
        <v>548</v>
      </c>
      <c r="B193" s="137" t="s">
        <v>549</v>
      </c>
      <c r="C193" s="138" t="s">
        <v>434</v>
      </c>
      <c r="D193" s="128">
        <v>60.0</v>
      </c>
      <c r="E193" s="128">
        <v>62.32</v>
      </c>
      <c r="F193" s="128">
        <v>0.0</v>
      </c>
      <c r="G193" s="128">
        <v>0.0</v>
      </c>
      <c r="H193" s="128">
        <v>0.0</v>
      </c>
      <c r="I193" s="128">
        <v>33.0</v>
      </c>
      <c r="J193" s="128">
        <v>0.1454</v>
      </c>
      <c r="K193" s="128">
        <v>0.0</v>
      </c>
      <c r="L193" s="128">
        <v>473.0</v>
      </c>
      <c r="M193" s="128">
        <v>1.27</v>
      </c>
    </row>
    <row r="194">
      <c r="A194" s="125" t="s">
        <v>501</v>
      </c>
      <c r="B194" s="137" t="s">
        <v>502</v>
      </c>
      <c r="C194" s="138" t="s">
        <v>434</v>
      </c>
      <c r="D194" s="128">
        <v>60.0</v>
      </c>
      <c r="E194" s="63" t="s">
        <v>426</v>
      </c>
      <c r="F194" s="128">
        <v>0.0</v>
      </c>
      <c r="G194" s="128">
        <v>0.0</v>
      </c>
      <c r="H194" s="128">
        <v>0.0</v>
      </c>
      <c r="I194" s="128">
        <v>3.0</v>
      </c>
      <c r="J194" s="128">
        <v>0.0011</v>
      </c>
      <c r="K194" s="128">
        <v>0.0</v>
      </c>
      <c r="L194" s="128">
        <v>133.0</v>
      </c>
      <c r="M194" s="128">
        <v>0.0</v>
      </c>
    </row>
    <row r="195">
      <c r="A195" s="125" t="s">
        <v>518</v>
      </c>
      <c r="B195" s="137" t="s">
        <v>519</v>
      </c>
      <c r="C195" s="138" t="s">
        <v>434</v>
      </c>
      <c r="D195" s="128">
        <v>629.0</v>
      </c>
      <c r="E195" s="128">
        <v>21.1</v>
      </c>
      <c r="F195" s="128">
        <v>-1.0</v>
      </c>
      <c r="G195" s="128">
        <v>0.0</v>
      </c>
      <c r="H195" s="128">
        <v>0.0</v>
      </c>
      <c r="I195" s="128">
        <v>51.0</v>
      </c>
      <c r="J195" s="128">
        <v>1.8806</v>
      </c>
      <c r="K195" s="128">
        <v>0.0</v>
      </c>
      <c r="L195" s="128">
        <v>1229.0</v>
      </c>
      <c r="M195" s="128">
        <v>1.71</v>
      </c>
    </row>
    <row r="196">
      <c r="A196" s="125" t="s">
        <v>490</v>
      </c>
      <c r="B196" s="137" t="s">
        <v>491</v>
      </c>
      <c r="C196" s="138" t="s">
        <v>434</v>
      </c>
      <c r="D196" s="128">
        <v>73.0</v>
      </c>
      <c r="E196" s="128">
        <v>53.3</v>
      </c>
      <c r="F196" s="128">
        <v>-1.0</v>
      </c>
      <c r="G196" s="128">
        <v>0.0</v>
      </c>
      <c r="H196" s="128">
        <v>0.0</v>
      </c>
      <c r="I196" s="128">
        <v>11.0</v>
      </c>
      <c r="J196" s="128">
        <v>0.0559</v>
      </c>
      <c r="K196" s="128">
        <v>0.0</v>
      </c>
      <c r="L196" s="128">
        <v>123.0</v>
      </c>
      <c r="M196" s="128">
        <v>2.44</v>
      </c>
    </row>
    <row r="197">
      <c r="A197" s="125" t="s">
        <v>442</v>
      </c>
      <c r="B197" s="137" t="s">
        <v>443</v>
      </c>
      <c r="C197" s="138" t="s">
        <v>434</v>
      </c>
      <c r="D197" s="128">
        <v>351.0</v>
      </c>
      <c r="E197" s="128">
        <v>39.39</v>
      </c>
      <c r="F197" s="128">
        <v>-1.0</v>
      </c>
      <c r="G197" s="128">
        <v>0.0</v>
      </c>
      <c r="H197" s="128">
        <v>0.0</v>
      </c>
      <c r="I197" s="128">
        <v>39.0</v>
      </c>
      <c r="J197" s="128">
        <v>1.4979</v>
      </c>
      <c r="K197" s="128">
        <v>0.0</v>
      </c>
      <c r="L197" s="128">
        <v>1029.0</v>
      </c>
      <c r="M197" s="128">
        <v>2.72</v>
      </c>
    </row>
    <row r="198">
      <c r="A198" s="125" t="s">
        <v>492</v>
      </c>
      <c r="B198" s="137" t="s">
        <v>485</v>
      </c>
      <c r="C198" s="138" t="s">
        <v>434</v>
      </c>
      <c r="D198" s="128">
        <v>49.0</v>
      </c>
      <c r="E198" s="128">
        <v>88.3</v>
      </c>
      <c r="F198" s="128">
        <v>-1.0</v>
      </c>
      <c r="G198" s="128">
        <v>1.0</v>
      </c>
      <c r="H198" s="128">
        <v>0.0</v>
      </c>
      <c r="I198" s="128">
        <v>12.0</v>
      </c>
      <c r="J198" s="128">
        <v>0.0723</v>
      </c>
      <c r="K198" s="128">
        <v>0.0</v>
      </c>
      <c r="L198" s="128">
        <v>139.0</v>
      </c>
      <c r="M198" s="128">
        <v>0.72</v>
      </c>
    </row>
    <row r="199">
      <c r="A199" s="125" t="s">
        <v>554</v>
      </c>
      <c r="B199" s="137" t="s">
        <v>555</v>
      </c>
      <c r="C199" s="138" t="s">
        <v>434</v>
      </c>
      <c r="D199" s="128">
        <v>54.0</v>
      </c>
      <c r="E199" s="63" t="s">
        <v>426</v>
      </c>
      <c r="F199" s="63" t="s">
        <v>426</v>
      </c>
      <c r="G199" s="63" t="s">
        <v>426</v>
      </c>
      <c r="H199" s="63" t="s">
        <v>426</v>
      </c>
      <c r="I199" s="63" t="s">
        <v>426</v>
      </c>
      <c r="J199" s="63" t="s">
        <v>426</v>
      </c>
      <c r="K199" s="63" t="s">
        <v>426</v>
      </c>
      <c r="L199" s="128">
        <v>4.0</v>
      </c>
      <c r="M199" s="128">
        <v>0.0</v>
      </c>
    </row>
    <row r="200">
      <c r="A200" s="125" t="s">
        <v>550</v>
      </c>
      <c r="B200" s="137" t="s">
        <v>551</v>
      </c>
      <c r="C200" s="138" t="s">
        <v>434</v>
      </c>
      <c r="D200" s="128">
        <v>63.0</v>
      </c>
      <c r="E200" s="63" t="s">
        <v>426</v>
      </c>
      <c r="F200" s="63" t="s">
        <v>426</v>
      </c>
      <c r="G200" s="63" t="s">
        <v>426</v>
      </c>
      <c r="H200" s="63" t="s">
        <v>426</v>
      </c>
      <c r="I200" s="63" t="s">
        <v>426</v>
      </c>
      <c r="J200" s="63" t="s">
        <v>426</v>
      </c>
      <c r="K200" s="63" t="s">
        <v>426</v>
      </c>
      <c r="L200" s="128">
        <v>7.0</v>
      </c>
      <c r="M200" s="128">
        <v>0.0</v>
      </c>
    </row>
    <row r="201">
      <c r="A201" s="57"/>
    </row>
    <row r="202">
      <c r="A202" s="57"/>
    </row>
    <row r="203">
      <c r="A203" s="57"/>
    </row>
    <row r="204">
      <c r="A204" s="57"/>
    </row>
    <row r="205">
      <c r="A205" s="57"/>
    </row>
    <row r="206">
      <c r="A206" s="57"/>
    </row>
    <row r="207">
      <c r="A207" s="57"/>
    </row>
    <row r="208">
      <c r="A208" s="57"/>
    </row>
    <row r="209">
      <c r="A209" s="57"/>
    </row>
    <row r="210">
      <c r="A210" s="57"/>
    </row>
    <row r="211">
      <c r="A211" s="57"/>
    </row>
    <row r="212">
      <c r="A212" s="57"/>
    </row>
    <row r="213">
      <c r="A213" s="57"/>
    </row>
    <row r="214">
      <c r="A214" s="57"/>
    </row>
    <row r="215">
      <c r="A215" s="57"/>
    </row>
    <row r="216">
      <c r="A216" s="57"/>
    </row>
    <row r="217">
      <c r="A217" s="57"/>
    </row>
    <row r="218">
      <c r="A218" s="57"/>
    </row>
    <row r="219">
      <c r="A219" s="57"/>
    </row>
    <row r="220">
      <c r="A220" s="57"/>
    </row>
    <row r="221">
      <c r="A221" s="57"/>
    </row>
    <row r="222">
      <c r="A222" s="57"/>
    </row>
    <row r="223">
      <c r="A223" s="57"/>
    </row>
    <row r="224">
      <c r="A224" s="57"/>
    </row>
    <row r="225">
      <c r="A225" s="57"/>
    </row>
    <row r="226">
      <c r="A226" s="57"/>
    </row>
    <row r="227">
      <c r="A227" s="57"/>
    </row>
    <row r="228">
      <c r="A228" s="57"/>
    </row>
    <row r="229">
      <c r="A229" s="57"/>
    </row>
    <row r="230">
      <c r="A230" s="57"/>
    </row>
    <row r="231">
      <c r="A231" s="57"/>
    </row>
    <row r="232">
      <c r="A232" s="57"/>
    </row>
    <row r="233">
      <c r="A233" s="57"/>
    </row>
    <row r="234">
      <c r="A234" s="57"/>
    </row>
    <row r="235">
      <c r="A235" s="57"/>
    </row>
    <row r="236">
      <c r="A236" s="57"/>
    </row>
    <row r="237">
      <c r="A237" s="57"/>
    </row>
    <row r="238">
      <c r="A238" s="57"/>
    </row>
    <row r="239">
      <c r="A239" s="57"/>
    </row>
    <row r="240">
      <c r="A240" s="57"/>
    </row>
    <row r="241">
      <c r="A241" s="57"/>
    </row>
    <row r="242">
      <c r="A242" s="57"/>
    </row>
    <row r="243">
      <c r="A243" s="57"/>
    </row>
    <row r="244">
      <c r="A244" s="57"/>
    </row>
    <row r="245">
      <c r="A245" s="57"/>
    </row>
    <row r="246">
      <c r="A246" s="57"/>
    </row>
    <row r="247">
      <c r="A247" s="57"/>
    </row>
    <row r="248">
      <c r="A248" s="57"/>
    </row>
    <row r="249">
      <c r="A249" s="57"/>
    </row>
    <row r="250">
      <c r="A250" s="57"/>
    </row>
    <row r="251">
      <c r="A251" s="57"/>
    </row>
    <row r="252">
      <c r="A252" s="57"/>
    </row>
    <row r="253">
      <c r="A253" s="57"/>
    </row>
    <row r="254">
      <c r="A254" s="57"/>
    </row>
    <row r="255">
      <c r="A255" s="57"/>
    </row>
    <row r="256">
      <c r="A256" s="57"/>
    </row>
    <row r="257">
      <c r="A257" s="57"/>
    </row>
    <row r="258">
      <c r="A258" s="57"/>
    </row>
    <row r="259">
      <c r="A259" s="57"/>
    </row>
    <row r="260">
      <c r="A260" s="57"/>
    </row>
    <row r="261">
      <c r="A261" s="57"/>
    </row>
    <row r="262">
      <c r="A262" s="57"/>
    </row>
    <row r="263">
      <c r="A263" s="57"/>
    </row>
    <row r="264">
      <c r="A264" s="57"/>
    </row>
    <row r="265">
      <c r="A265" s="57"/>
    </row>
    <row r="266">
      <c r="A266" s="57"/>
    </row>
    <row r="267">
      <c r="A267" s="57"/>
    </row>
    <row r="268">
      <c r="A268" s="57"/>
    </row>
    <row r="269">
      <c r="A269" s="57"/>
    </row>
    <row r="270">
      <c r="A270" s="57"/>
    </row>
    <row r="271">
      <c r="A271" s="57"/>
    </row>
    <row r="272">
      <c r="A272" s="57"/>
    </row>
    <row r="273">
      <c r="A273" s="57"/>
    </row>
    <row r="274">
      <c r="A274" s="57"/>
    </row>
    <row r="275">
      <c r="A275" s="57"/>
    </row>
    <row r="276">
      <c r="A276" s="57"/>
    </row>
    <row r="277">
      <c r="A277" s="57"/>
    </row>
    <row r="278">
      <c r="A278" s="57"/>
    </row>
    <row r="279">
      <c r="A279" s="57"/>
    </row>
    <row r="280">
      <c r="A280" s="57"/>
    </row>
    <row r="281">
      <c r="A281" s="57"/>
    </row>
    <row r="282">
      <c r="A282" s="57"/>
    </row>
    <row r="283">
      <c r="A283" s="57"/>
    </row>
    <row r="284">
      <c r="A284" s="57"/>
    </row>
    <row r="285">
      <c r="A285" s="57"/>
    </row>
    <row r="286">
      <c r="A286" s="57"/>
    </row>
    <row r="287">
      <c r="A287" s="57"/>
    </row>
    <row r="288">
      <c r="A288" s="57"/>
    </row>
    <row r="289">
      <c r="A289" s="57"/>
    </row>
    <row r="290">
      <c r="A290" s="57"/>
    </row>
    <row r="291">
      <c r="A291" s="57"/>
    </row>
    <row r="292">
      <c r="A292" s="57"/>
    </row>
    <row r="293">
      <c r="A293" s="57"/>
    </row>
    <row r="294">
      <c r="A294" s="57"/>
    </row>
    <row r="295">
      <c r="A295" s="57"/>
    </row>
    <row r="296">
      <c r="A296" s="57"/>
    </row>
    <row r="297">
      <c r="A297" s="57"/>
    </row>
    <row r="298">
      <c r="A298" s="57"/>
    </row>
    <row r="299">
      <c r="A299" s="57"/>
    </row>
    <row r="300">
      <c r="A300" s="57"/>
    </row>
    <row r="301">
      <c r="A301" s="57"/>
    </row>
    <row r="302">
      <c r="A302" s="57"/>
    </row>
    <row r="303">
      <c r="A303" s="57"/>
    </row>
    <row r="304">
      <c r="A304" s="57"/>
    </row>
    <row r="305">
      <c r="A305" s="57"/>
    </row>
    <row r="306">
      <c r="A306" s="57"/>
    </row>
    <row r="307">
      <c r="A307" s="57"/>
    </row>
    <row r="308">
      <c r="A308" s="57"/>
    </row>
    <row r="309">
      <c r="A309" s="57"/>
    </row>
    <row r="310">
      <c r="A310" s="57"/>
    </row>
    <row r="311">
      <c r="A311" s="57"/>
    </row>
    <row r="312">
      <c r="A312" s="57"/>
    </row>
    <row r="313">
      <c r="A313" s="57"/>
    </row>
    <row r="314">
      <c r="A314" s="57"/>
    </row>
    <row r="315">
      <c r="A315" s="57"/>
    </row>
    <row r="316">
      <c r="A316" s="57"/>
    </row>
    <row r="317">
      <c r="A317" s="57"/>
    </row>
    <row r="318">
      <c r="A318" s="57"/>
    </row>
    <row r="319">
      <c r="A319" s="57"/>
    </row>
    <row r="320">
      <c r="A320" s="57"/>
    </row>
    <row r="321">
      <c r="A321" s="57"/>
    </row>
    <row r="322">
      <c r="A322" s="57"/>
    </row>
    <row r="323">
      <c r="A323" s="57"/>
    </row>
    <row r="324">
      <c r="A324" s="57"/>
    </row>
    <row r="325">
      <c r="A325" s="57"/>
    </row>
    <row r="326">
      <c r="A326" s="57"/>
    </row>
    <row r="327">
      <c r="A327" s="57"/>
    </row>
    <row r="328">
      <c r="A328" s="57"/>
    </row>
    <row r="329">
      <c r="A329" s="57"/>
    </row>
    <row r="330">
      <c r="A330" s="57"/>
    </row>
    <row r="331">
      <c r="A331" s="57"/>
    </row>
    <row r="332">
      <c r="A332" s="57"/>
    </row>
    <row r="333">
      <c r="A333" s="57"/>
    </row>
    <row r="334">
      <c r="A334" s="57"/>
    </row>
    <row r="335">
      <c r="A335" s="57"/>
    </row>
    <row r="336">
      <c r="A336" s="57"/>
    </row>
    <row r="337">
      <c r="A337" s="57"/>
    </row>
    <row r="338">
      <c r="A338" s="57"/>
    </row>
    <row r="339">
      <c r="A339" s="57"/>
    </row>
    <row r="340">
      <c r="A340" s="57"/>
    </row>
    <row r="341">
      <c r="A341" s="57"/>
    </row>
    <row r="342">
      <c r="A342" s="57"/>
    </row>
    <row r="343">
      <c r="A343" s="57"/>
    </row>
    <row r="344">
      <c r="A344" s="57"/>
    </row>
    <row r="345">
      <c r="A345" s="57"/>
    </row>
    <row r="346">
      <c r="A346" s="57"/>
    </row>
    <row r="347">
      <c r="A347" s="57"/>
    </row>
    <row r="348">
      <c r="A348" s="57"/>
    </row>
    <row r="349">
      <c r="A349" s="57"/>
    </row>
    <row r="350">
      <c r="A350" s="57"/>
    </row>
    <row r="351">
      <c r="A351" s="57"/>
    </row>
    <row r="352">
      <c r="A352" s="57"/>
    </row>
    <row r="353">
      <c r="A353" s="57"/>
    </row>
    <row r="354">
      <c r="A354" s="57"/>
    </row>
    <row r="355">
      <c r="A355" s="57"/>
    </row>
    <row r="356">
      <c r="A356" s="57"/>
    </row>
    <row r="357">
      <c r="A357" s="57"/>
    </row>
    <row r="358">
      <c r="A358" s="57"/>
    </row>
    <row r="359">
      <c r="A359" s="57"/>
    </row>
    <row r="360">
      <c r="A360" s="57"/>
    </row>
    <row r="361">
      <c r="A361" s="57"/>
    </row>
    <row r="362">
      <c r="A362" s="57"/>
    </row>
    <row r="363">
      <c r="A363" s="57"/>
    </row>
    <row r="364">
      <c r="A364" s="57"/>
    </row>
    <row r="365">
      <c r="A365" s="57"/>
    </row>
    <row r="366">
      <c r="A366" s="57"/>
    </row>
    <row r="367">
      <c r="A367" s="57"/>
    </row>
    <row r="368">
      <c r="A368" s="57"/>
    </row>
    <row r="369">
      <c r="A369" s="57"/>
    </row>
    <row r="370">
      <c r="A370" s="57"/>
    </row>
    <row r="371">
      <c r="A371" s="57"/>
    </row>
    <row r="372">
      <c r="A372" s="57"/>
    </row>
    <row r="373">
      <c r="A373" s="57"/>
    </row>
    <row r="374">
      <c r="A374" s="57"/>
    </row>
    <row r="375">
      <c r="A375" s="57"/>
    </row>
    <row r="376">
      <c r="A376" s="57"/>
    </row>
    <row r="377">
      <c r="A377" s="57"/>
    </row>
    <row r="378">
      <c r="A378" s="57"/>
    </row>
    <row r="379">
      <c r="A379" s="57"/>
    </row>
    <row r="380">
      <c r="A380" s="57"/>
    </row>
    <row r="381">
      <c r="A381" s="57"/>
    </row>
    <row r="382">
      <c r="A382" s="57"/>
    </row>
    <row r="383">
      <c r="A383" s="57"/>
    </row>
    <row r="384">
      <c r="A384" s="57"/>
    </row>
    <row r="385">
      <c r="A385" s="57"/>
    </row>
    <row r="386">
      <c r="A386" s="57"/>
    </row>
    <row r="387">
      <c r="A387" s="57"/>
    </row>
    <row r="388">
      <c r="A388" s="57"/>
    </row>
    <row r="389">
      <c r="A389" s="57"/>
    </row>
    <row r="390">
      <c r="A390" s="57"/>
    </row>
    <row r="391">
      <c r="A391" s="57"/>
    </row>
    <row r="392">
      <c r="A392" s="57"/>
    </row>
    <row r="393">
      <c r="A393" s="57"/>
    </row>
    <row r="394">
      <c r="A394" s="57"/>
    </row>
    <row r="395">
      <c r="A395" s="57"/>
    </row>
    <row r="396">
      <c r="A396" s="57"/>
    </row>
    <row r="397">
      <c r="A397" s="57"/>
    </row>
    <row r="398">
      <c r="A398" s="57"/>
    </row>
    <row r="399">
      <c r="A399" s="57"/>
    </row>
    <row r="400">
      <c r="A400" s="57"/>
    </row>
    <row r="401">
      <c r="A401" s="57"/>
    </row>
    <row r="402">
      <c r="A402" s="57"/>
    </row>
    <row r="403">
      <c r="A403" s="57"/>
    </row>
    <row r="404">
      <c r="A404" s="57"/>
    </row>
    <row r="405">
      <c r="A405" s="57"/>
    </row>
    <row r="406">
      <c r="A406" s="57"/>
    </row>
    <row r="407">
      <c r="A407" s="57"/>
    </row>
    <row r="408">
      <c r="A408" s="57"/>
    </row>
    <row r="409">
      <c r="A409" s="57"/>
    </row>
    <row r="410">
      <c r="A410" s="57"/>
    </row>
    <row r="411">
      <c r="A411" s="57"/>
    </row>
    <row r="412">
      <c r="A412" s="57"/>
    </row>
    <row r="413">
      <c r="A413" s="57"/>
    </row>
    <row r="414">
      <c r="A414" s="57"/>
    </row>
    <row r="415">
      <c r="A415" s="57"/>
    </row>
    <row r="416">
      <c r="A416" s="57"/>
    </row>
    <row r="417">
      <c r="A417" s="57"/>
    </row>
    <row r="418">
      <c r="A418" s="57"/>
    </row>
    <row r="419">
      <c r="A419" s="57"/>
    </row>
    <row r="420">
      <c r="A420" s="57"/>
    </row>
    <row r="421">
      <c r="A421" s="57"/>
    </row>
    <row r="422">
      <c r="A422" s="57"/>
    </row>
    <row r="423">
      <c r="A423" s="57"/>
    </row>
    <row r="424">
      <c r="A424" s="57"/>
    </row>
    <row r="425">
      <c r="A425" s="57"/>
    </row>
    <row r="426">
      <c r="A426" s="57"/>
    </row>
    <row r="427">
      <c r="A427" s="57"/>
    </row>
    <row r="428">
      <c r="A428" s="57"/>
    </row>
    <row r="429">
      <c r="A429" s="57"/>
    </row>
    <row r="430">
      <c r="A430" s="57"/>
    </row>
    <row r="431">
      <c r="A431" s="57"/>
    </row>
    <row r="432">
      <c r="A432" s="57"/>
    </row>
    <row r="433">
      <c r="A433" s="57"/>
    </row>
    <row r="434">
      <c r="A434" s="57"/>
    </row>
    <row r="435">
      <c r="A435" s="57"/>
    </row>
    <row r="436">
      <c r="A436" s="57"/>
    </row>
    <row r="437">
      <c r="A437" s="57"/>
    </row>
    <row r="438">
      <c r="A438" s="57"/>
    </row>
    <row r="439">
      <c r="A439" s="57"/>
    </row>
    <row r="440">
      <c r="A440" s="57"/>
    </row>
    <row r="441">
      <c r="A441" s="57"/>
    </row>
    <row r="442">
      <c r="A442" s="57"/>
    </row>
    <row r="443">
      <c r="A443" s="57"/>
    </row>
    <row r="444">
      <c r="A444" s="57"/>
    </row>
    <row r="445">
      <c r="A445" s="57"/>
    </row>
    <row r="446">
      <c r="A446" s="57"/>
    </row>
    <row r="447">
      <c r="A447" s="57"/>
    </row>
    <row r="448">
      <c r="A448" s="57"/>
    </row>
    <row r="449">
      <c r="A449" s="57"/>
    </row>
    <row r="450">
      <c r="A450" s="57"/>
    </row>
    <row r="451">
      <c r="A451" s="57"/>
    </row>
    <row r="452">
      <c r="A452" s="57"/>
    </row>
    <row r="453">
      <c r="A453" s="57"/>
    </row>
    <row r="454">
      <c r="A454" s="57"/>
    </row>
    <row r="455">
      <c r="A455" s="57"/>
    </row>
    <row r="456">
      <c r="A456" s="57"/>
    </row>
    <row r="457">
      <c r="A457" s="57"/>
    </row>
    <row r="458">
      <c r="A458" s="57"/>
    </row>
    <row r="459">
      <c r="A459" s="57"/>
    </row>
    <row r="460">
      <c r="A460" s="57"/>
    </row>
    <row r="461">
      <c r="A461" s="57"/>
    </row>
    <row r="462">
      <c r="A462" s="57"/>
    </row>
    <row r="463">
      <c r="A463" s="57"/>
    </row>
    <row r="464">
      <c r="A464" s="57"/>
    </row>
    <row r="465">
      <c r="A465" s="57"/>
    </row>
    <row r="466">
      <c r="A466" s="57"/>
    </row>
    <row r="467">
      <c r="A467" s="57"/>
    </row>
    <row r="468">
      <c r="A468" s="57"/>
    </row>
    <row r="469">
      <c r="A469" s="57"/>
    </row>
    <row r="470">
      <c r="A470" s="57"/>
    </row>
    <row r="471">
      <c r="A471" s="57"/>
    </row>
    <row r="472">
      <c r="A472" s="57"/>
    </row>
    <row r="473">
      <c r="A473" s="57"/>
    </row>
    <row r="474">
      <c r="A474" s="57"/>
    </row>
    <row r="475">
      <c r="A475" s="57"/>
    </row>
    <row r="476">
      <c r="A476" s="57"/>
    </row>
    <row r="477">
      <c r="A477" s="57"/>
    </row>
    <row r="478">
      <c r="A478" s="57"/>
    </row>
    <row r="479">
      <c r="A479" s="57"/>
    </row>
    <row r="480">
      <c r="A480" s="57"/>
    </row>
    <row r="481">
      <c r="A481" s="57"/>
    </row>
    <row r="482">
      <c r="A482" s="57"/>
    </row>
    <row r="483">
      <c r="A483" s="57"/>
    </row>
    <row r="484">
      <c r="A484" s="57"/>
    </row>
    <row r="485">
      <c r="A485" s="57"/>
    </row>
    <row r="486">
      <c r="A486" s="57"/>
    </row>
    <row r="487">
      <c r="A487" s="57"/>
    </row>
    <row r="488">
      <c r="A488" s="57"/>
    </row>
    <row r="489">
      <c r="A489" s="57"/>
    </row>
    <row r="490">
      <c r="A490" s="57"/>
    </row>
    <row r="491">
      <c r="A491" s="57"/>
    </row>
    <row r="492">
      <c r="A492" s="57"/>
    </row>
    <row r="493">
      <c r="A493" s="57"/>
    </row>
    <row r="494">
      <c r="A494" s="57"/>
    </row>
    <row r="495">
      <c r="A495" s="57"/>
    </row>
    <row r="496">
      <c r="A496" s="57"/>
    </row>
    <row r="497">
      <c r="A497" s="57"/>
    </row>
    <row r="498">
      <c r="A498" s="57"/>
    </row>
    <row r="499">
      <c r="A499" s="57"/>
    </row>
    <row r="500">
      <c r="A500" s="57"/>
    </row>
    <row r="501">
      <c r="A501" s="57"/>
    </row>
    <row r="502">
      <c r="A502" s="57"/>
    </row>
    <row r="503">
      <c r="A503" s="57"/>
    </row>
    <row r="504">
      <c r="A504" s="57"/>
    </row>
    <row r="505">
      <c r="A505" s="57"/>
    </row>
    <row r="506">
      <c r="A506" s="57"/>
    </row>
    <row r="507">
      <c r="A507" s="57"/>
    </row>
    <row r="508">
      <c r="A508" s="57"/>
    </row>
    <row r="509">
      <c r="A509" s="57"/>
    </row>
    <row r="510">
      <c r="A510" s="57"/>
    </row>
    <row r="511">
      <c r="A511" s="57"/>
    </row>
    <row r="512">
      <c r="A512" s="57"/>
    </row>
    <row r="513">
      <c r="A513" s="57"/>
    </row>
    <row r="514">
      <c r="A514" s="57"/>
    </row>
    <row r="515">
      <c r="A515" s="57"/>
    </row>
    <row r="516">
      <c r="A516" s="57"/>
    </row>
    <row r="517">
      <c r="A517" s="57"/>
    </row>
    <row r="518">
      <c r="A518" s="57"/>
    </row>
    <row r="519">
      <c r="A519" s="57"/>
    </row>
    <row r="520">
      <c r="A520" s="57"/>
    </row>
    <row r="521">
      <c r="A521" s="57"/>
    </row>
    <row r="522">
      <c r="A522" s="57"/>
    </row>
    <row r="523">
      <c r="A523" s="57"/>
    </row>
    <row r="524">
      <c r="A524" s="57"/>
    </row>
    <row r="525">
      <c r="A525" s="57"/>
    </row>
    <row r="526">
      <c r="A526" s="57"/>
    </row>
    <row r="527">
      <c r="A527" s="57"/>
    </row>
    <row r="528">
      <c r="A528" s="57"/>
    </row>
    <row r="529">
      <c r="A529" s="57"/>
    </row>
    <row r="530">
      <c r="A530" s="57"/>
    </row>
    <row r="531">
      <c r="A531" s="57"/>
    </row>
    <row r="532">
      <c r="A532" s="57"/>
    </row>
    <row r="533">
      <c r="A533" s="57"/>
    </row>
    <row r="534">
      <c r="A534" s="57"/>
    </row>
    <row r="535">
      <c r="A535" s="57"/>
    </row>
    <row r="536">
      <c r="A536" s="57"/>
    </row>
    <row r="537">
      <c r="A537" s="57"/>
    </row>
    <row r="538">
      <c r="A538" s="57"/>
    </row>
    <row r="539">
      <c r="A539" s="57"/>
    </row>
    <row r="540">
      <c r="A540" s="57"/>
    </row>
    <row r="541">
      <c r="A541" s="57"/>
    </row>
    <row r="542">
      <c r="A542" s="57"/>
    </row>
    <row r="543">
      <c r="A543" s="57"/>
    </row>
    <row r="544">
      <c r="A544" s="57"/>
    </row>
    <row r="545">
      <c r="A545" s="57"/>
    </row>
    <row r="546">
      <c r="A546" s="57"/>
    </row>
    <row r="547">
      <c r="A547" s="57"/>
    </row>
    <row r="548">
      <c r="A548" s="57"/>
    </row>
    <row r="549">
      <c r="A549" s="57"/>
    </row>
    <row r="550">
      <c r="A550" s="57"/>
    </row>
    <row r="551">
      <c r="A551" s="57"/>
    </row>
    <row r="552">
      <c r="A552" s="57"/>
    </row>
    <row r="553">
      <c r="A553" s="57"/>
    </row>
    <row r="554">
      <c r="A554" s="57"/>
    </row>
    <row r="555">
      <c r="A555" s="57"/>
    </row>
    <row r="556">
      <c r="A556" s="57"/>
    </row>
    <row r="557">
      <c r="A557" s="57"/>
    </row>
    <row r="558">
      <c r="A558" s="57"/>
    </row>
    <row r="559">
      <c r="A559" s="57"/>
    </row>
    <row r="560">
      <c r="A560" s="57"/>
    </row>
    <row r="561">
      <c r="A561" s="57"/>
    </row>
    <row r="562">
      <c r="A562" s="57"/>
    </row>
    <row r="563">
      <c r="A563" s="57"/>
    </row>
    <row r="564">
      <c r="A564" s="57"/>
    </row>
    <row r="565">
      <c r="A565" s="57"/>
    </row>
    <row r="566">
      <c r="A566" s="57"/>
    </row>
    <row r="567">
      <c r="A567" s="57"/>
    </row>
    <row r="568">
      <c r="A568" s="57"/>
    </row>
    <row r="569">
      <c r="A569" s="57"/>
    </row>
    <row r="570">
      <c r="A570" s="57"/>
    </row>
    <row r="571">
      <c r="A571" s="57"/>
    </row>
    <row r="572">
      <c r="A572" s="57"/>
    </row>
    <row r="573">
      <c r="A573" s="57"/>
    </row>
    <row r="574">
      <c r="A574" s="57"/>
    </row>
    <row r="575">
      <c r="A575" s="57"/>
    </row>
    <row r="576">
      <c r="A576" s="57"/>
    </row>
    <row r="577">
      <c r="A577" s="57"/>
    </row>
    <row r="578">
      <c r="A578" s="57"/>
    </row>
    <row r="579">
      <c r="A579" s="57"/>
    </row>
    <row r="580">
      <c r="A580" s="57"/>
    </row>
    <row r="581">
      <c r="A581" s="57"/>
    </row>
    <row r="582">
      <c r="A582" s="57"/>
    </row>
    <row r="583">
      <c r="A583" s="57"/>
    </row>
    <row r="584">
      <c r="A584" s="57"/>
    </row>
    <row r="585">
      <c r="A585" s="57"/>
    </row>
    <row r="586">
      <c r="A586" s="57"/>
    </row>
    <row r="587">
      <c r="A587" s="57"/>
    </row>
    <row r="588">
      <c r="A588" s="57"/>
    </row>
    <row r="589">
      <c r="A589" s="57"/>
    </row>
    <row r="590">
      <c r="A590" s="57"/>
    </row>
    <row r="591">
      <c r="A591" s="57"/>
    </row>
    <row r="592">
      <c r="A592" s="57"/>
    </row>
    <row r="593">
      <c r="A593" s="57"/>
    </row>
    <row r="594">
      <c r="A594" s="57"/>
    </row>
    <row r="595">
      <c r="A595" s="57"/>
    </row>
    <row r="596">
      <c r="A596" s="57"/>
    </row>
    <row r="597">
      <c r="A597" s="57"/>
    </row>
    <row r="598">
      <c r="A598" s="57"/>
    </row>
    <row r="599">
      <c r="A599" s="57"/>
    </row>
    <row r="600">
      <c r="A600" s="57"/>
    </row>
    <row r="601">
      <c r="A601" s="57"/>
    </row>
    <row r="602">
      <c r="A602" s="57"/>
    </row>
    <row r="603">
      <c r="A603" s="57"/>
    </row>
    <row r="604">
      <c r="A604" s="57"/>
    </row>
    <row r="605">
      <c r="A605" s="57"/>
    </row>
    <row r="606">
      <c r="A606" s="57"/>
    </row>
    <row r="607">
      <c r="A607" s="57"/>
    </row>
    <row r="608">
      <c r="A608" s="57"/>
    </row>
    <row r="609">
      <c r="A609" s="57"/>
    </row>
    <row r="610">
      <c r="A610" s="57"/>
    </row>
    <row r="611">
      <c r="A611" s="57"/>
    </row>
    <row r="612">
      <c r="A612" s="57"/>
    </row>
    <row r="613">
      <c r="A613" s="57"/>
    </row>
    <row r="614">
      <c r="A614" s="57"/>
    </row>
    <row r="615">
      <c r="A615" s="57"/>
    </row>
    <row r="616">
      <c r="A616" s="57"/>
    </row>
    <row r="617">
      <c r="A617" s="57"/>
    </row>
    <row r="618">
      <c r="A618" s="57"/>
    </row>
    <row r="619">
      <c r="A619" s="57"/>
    </row>
    <row r="620">
      <c r="A620" s="57"/>
    </row>
    <row r="621">
      <c r="A621" s="57"/>
    </row>
    <row r="622">
      <c r="A622" s="57"/>
    </row>
    <row r="623">
      <c r="A623" s="57"/>
    </row>
    <row r="624">
      <c r="A624" s="57"/>
    </row>
    <row r="625">
      <c r="A625" s="57"/>
    </row>
    <row r="626">
      <c r="A626" s="57"/>
    </row>
    <row r="627">
      <c r="A627" s="57"/>
    </row>
    <row r="628">
      <c r="A628" s="57"/>
    </row>
    <row r="629">
      <c r="A629" s="57"/>
    </row>
    <row r="630">
      <c r="A630" s="57"/>
    </row>
    <row r="631">
      <c r="A631" s="57"/>
    </row>
    <row r="632">
      <c r="A632" s="57"/>
    </row>
    <row r="633">
      <c r="A633" s="57"/>
    </row>
    <row r="634">
      <c r="A634" s="57"/>
    </row>
    <row r="635">
      <c r="A635" s="57"/>
    </row>
    <row r="636">
      <c r="A636" s="57"/>
    </row>
    <row r="637">
      <c r="A637" s="57"/>
    </row>
    <row r="638">
      <c r="A638" s="57"/>
    </row>
    <row r="639">
      <c r="A639" s="57"/>
    </row>
    <row r="640">
      <c r="A640" s="57"/>
    </row>
    <row r="641">
      <c r="A641" s="57"/>
    </row>
    <row r="642">
      <c r="A642" s="57"/>
    </row>
    <row r="643">
      <c r="A643" s="57"/>
    </row>
    <row r="644">
      <c r="A644" s="57"/>
    </row>
    <row r="645">
      <c r="A645" s="57"/>
    </row>
    <row r="646">
      <c r="A646" s="57"/>
    </row>
    <row r="647">
      <c r="A647" s="57"/>
    </row>
    <row r="648">
      <c r="A648" s="57"/>
    </row>
    <row r="649">
      <c r="A649" s="57"/>
    </row>
    <row r="650">
      <c r="A650" s="57"/>
    </row>
    <row r="651">
      <c r="A651" s="57"/>
    </row>
    <row r="652">
      <c r="A652" s="57"/>
    </row>
    <row r="653">
      <c r="A653" s="57"/>
    </row>
    <row r="654">
      <c r="A654" s="57"/>
    </row>
    <row r="655">
      <c r="A655" s="57"/>
    </row>
    <row r="656">
      <c r="A656" s="57"/>
    </row>
    <row r="657">
      <c r="A657" s="57"/>
    </row>
    <row r="658">
      <c r="A658" s="57"/>
    </row>
    <row r="659">
      <c r="A659" s="57"/>
    </row>
    <row r="660">
      <c r="A660" s="57"/>
    </row>
    <row r="661">
      <c r="A661" s="57"/>
    </row>
    <row r="662">
      <c r="A662" s="57"/>
    </row>
    <row r="663">
      <c r="A663" s="57"/>
    </row>
    <row r="664">
      <c r="A664" s="57"/>
    </row>
    <row r="665">
      <c r="A665" s="57"/>
    </row>
    <row r="666">
      <c r="A666" s="57"/>
    </row>
    <row r="667">
      <c r="A667" s="57"/>
    </row>
    <row r="668">
      <c r="A668" s="57"/>
    </row>
    <row r="669">
      <c r="A669" s="57"/>
    </row>
    <row r="670">
      <c r="A670" s="57"/>
    </row>
    <row r="671">
      <c r="A671" s="57"/>
    </row>
    <row r="672">
      <c r="A672" s="57"/>
    </row>
    <row r="673">
      <c r="A673" s="57"/>
    </row>
    <row r="674">
      <c r="A674" s="57"/>
    </row>
    <row r="675">
      <c r="A675" s="57"/>
    </row>
    <row r="676">
      <c r="A676" s="57"/>
    </row>
    <row r="677">
      <c r="A677" s="57"/>
    </row>
    <row r="678">
      <c r="A678" s="57"/>
    </row>
    <row r="679">
      <c r="A679" s="57"/>
    </row>
    <row r="680">
      <c r="A680" s="57"/>
    </row>
    <row r="681">
      <c r="A681" s="57"/>
    </row>
    <row r="682">
      <c r="A682" s="57"/>
    </row>
    <row r="683">
      <c r="A683" s="57"/>
    </row>
    <row r="684">
      <c r="A684" s="57"/>
    </row>
    <row r="685">
      <c r="A685" s="57"/>
    </row>
    <row r="686">
      <c r="A686" s="57"/>
    </row>
    <row r="687">
      <c r="A687" s="57"/>
    </row>
    <row r="688">
      <c r="A688" s="57"/>
    </row>
    <row r="689">
      <c r="A689" s="57"/>
    </row>
    <row r="690">
      <c r="A690" s="57"/>
    </row>
    <row r="691">
      <c r="A691" s="57"/>
    </row>
    <row r="692">
      <c r="A692" s="57"/>
    </row>
    <row r="693">
      <c r="A693" s="57"/>
    </row>
    <row r="694">
      <c r="A694" s="57"/>
    </row>
    <row r="695">
      <c r="A695" s="57"/>
    </row>
    <row r="696">
      <c r="A696" s="57"/>
    </row>
    <row r="697">
      <c r="A697" s="57"/>
    </row>
    <row r="698">
      <c r="A698" s="57"/>
    </row>
    <row r="699">
      <c r="A699" s="57"/>
    </row>
    <row r="700">
      <c r="A700" s="57"/>
    </row>
    <row r="701">
      <c r="A701" s="57"/>
    </row>
    <row r="702">
      <c r="A702" s="57"/>
    </row>
    <row r="703">
      <c r="A703" s="57"/>
    </row>
    <row r="704">
      <c r="A704" s="57"/>
    </row>
    <row r="705">
      <c r="A705" s="57"/>
    </row>
    <row r="706">
      <c r="A706" s="57"/>
    </row>
    <row r="707">
      <c r="A707" s="57"/>
    </row>
    <row r="708">
      <c r="A708" s="57"/>
    </row>
    <row r="709">
      <c r="A709" s="57"/>
    </row>
    <row r="710">
      <c r="A710" s="57"/>
    </row>
    <row r="711">
      <c r="A711" s="57"/>
    </row>
    <row r="712">
      <c r="A712" s="57"/>
    </row>
    <row r="713">
      <c r="A713" s="57"/>
    </row>
    <row r="714">
      <c r="A714" s="57"/>
    </row>
    <row r="715">
      <c r="A715" s="57"/>
    </row>
    <row r="716">
      <c r="A716" s="57"/>
    </row>
    <row r="717">
      <c r="A717" s="57"/>
    </row>
    <row r="718">
      <c r="A718" s="57"/>
    </row>
    <row r="719">
      <c r="A719" s="57"/>
    </row>
    <row r="720">
      <c r="A720" s="57"/>
    </row>
    <row r="721">
      <c r="A721" s="57"/>
    </row>
    <row r="722">
      <c r="A722" s="57"/>
    </row>
    <row r="723">
      <c r="A723" s="57"/>
    </row>
    <row r="724">
      <c r="A724" s="57"/>
    </row>
    <row r="725">
      <c r="A725" s="57"/>
    </row>
    <row r="726">
      <c r="A726" s="57"/>
    </row>
    <row r="727">
      <c r="A727" s="57"/>
    </row>
    <row r="728">
      <c r="A728" s="57"/>
    </row>
    <row r="729">
      <c r="A729" s="57"/>
    </row>
    <row r="730">
      <c r="A730" s="57"/>
    </row>
    <row r="731">
      <c r="A731" s="57"/>
    </row>
    <row r="732">
      <c r="A732" s="57"/>
    </row>
    <row r="733">
      <c r="A733" s="57"/>
    </row>
    <row r="734">
      <c r="A734" s="57"/>
    </row>
    <row r="735">
      <c r="A735" s="57"/>
    </row>
    <row r="736">
      <c r="A736" s="57"/>
    </row>
    <row r="737">
      <c r="A737" s="57"/>
    </row>
    <row r="738">
      <c r="A738" s="57"/>
    </row>
    <row r="739">
      <c r="A739" s="57"/>
    </row>
    <row r="740">
      <c r="A740" s="57"/>
    </row>
    <row r="741">
      <c r="A741" s="57"/>
    </row>
    <row r="742">
      <c r="A742" s="57"/>
    </row>
    <row r="743">
      <c r="A743" s="57"/>
    </row>
    <row r="744">
      <c r="A744" s="57"/>
    </row>
    <row r="745">
      <c r="A745" s="57"/>
    </row>
    <row r="746">
      <c r="A746" s="57"/>
    </row>
    <row r="747">
      <c r="A747" s="57"/>
    </row>
    <row r="748">
      <c r="A748" s="57"/>
    </row>
    <row r="749">
      <c r="A749" s="57"/>
    </row>
    <row r="750">
      <c r="A750" s="57"/>
    </row>
    <row r="751">
      <c r="A751" s="57"/>
    </row>
    <row r="752">
      <c r="A752" s="57"/>
    </row>
    <row r="753">
      <c r="A753" s="57"/>
    </row>
    <row r="754">
      <c r="A754" s="57"/>
    </row>
    <row r="755">
      <c r="A755" s="57"/>
    </row>
    <row r="756">
      <c r="A756" s="57"/>
    </row>
    <row r="757">
      <c r="A757" s="57"/>
    </row>
    <row r="758">
      <c r="A758" s="57"/>
    </row>
    <row r="759">
      <c r="A759" s="57"/>
    </row>
    <row r="760">
      <c r="A760" s="57"/>
    </row>
    <row r="761">
      <c r="A761" s="57"/>
    </row>
    <row r="762">
      <c r="A762" s="57"/>
    </row>
    <row r="763">
      <c r="A763" s="57"/>
    </row>
    <row r="764">
      <c r="A764" s="57"/>
    </row>
    <row r="765">
      <c r="A765" s="57"/>
    </row>
    <row r="766">
      <c r="A766" s="57"/>
    </row>
    <row r="767">
      <c r="A767" s="57"/>
    </row>
    <row r="768">
      <c r="A768" s="57"/>
    </row>
    <row r="769">
      <c r="A769" s="57"/>
    </row>
    <row r="770">
      <c r="A770" s="57"/>
    </row>
    <row r="771">
      <c r="A771" s="57"/>
    </row>
    <row r="772">
      <c r="A772" s="57"/>
    </row>
    <row r="773">
      <c r="A773" s="57"/>
    </row>
    <row r="774">
      <c r="A774" s="57"/>
    </row>
    <row r="775">
      <c r="A775" s="57"/>
    </row>
    <row r="776">
      <c r="A776" s="57"/>
    </row>
    <row r="777">
      <c r="A777" s="57"/>
    </row>
    <row r="778">
      <c r="A778" s="57"/>
    </row>
    <row r="779">
      <c r="A779" s="57"/>
    </row>
    <row r="780">
      <c r="A780" s="57"/>
    </row>
    <row r="781">
      <c r="A781" s="57"/>
    </row>
    <row r="782">
      <c r="A782" s="57"/>
    </row>
    <row r="783">
      <c r="A783" s="57"/>
    </row>
    <row r="784">
      <c r="A784" s="57"/>
    </row>
    <row r="785">
      <c r="A785" s="57"/>
    </row>
    <row r="786">
      <c r="A786" s="57"/>
    </row>
    <row r="787">
      <c r="A787" s="57"/>
    </row>
    <row r="788">
      <c r="A788" s="57"/>
    </row>
    <row r="789">
      <c r="A789" s="57"/>
    </row>
    <row r="790">
      <c r="A790" s="57"/>
    </row>
    <row r="791">
      <c r="A791" s="57"/>
    </row>
    <row r="792">
      <c r="A792" s="57"/>
    </row>
    <row r="793">
      <c r="A793" s="57"/>
    </row>
    <row r="794">
      <c r="A794" s="57"/>
    </row>
    <row r="795">
      <c r="A795" s="57"/>
    </row>
    <row r="796">
      <c r="A796" s="57"/>
    </row>
    <row r="797">
      <c r="A797" s="57"/>
    </row>
    <row r="798">
      <c r="A798" s="57"/>
    </row>
    <row r="799">
      <c r="A799" s="57"/>
    </row>
    <row r="800">
      <c r="A800" s="57"/>
    </row>
    <row r="801">
      <c r="A801" s="57"/>
    </row>
    <row r="802">
      <c r="A802" s="57"/>
    </row>
    <row r="803">
      <c r="A803" s="57"/>
    </row>
    <row r="804">
      <c r="A804" s="57"/>
    </row>
    <row r="805">
      <c r="A805" s="57"/>
    </row>
    <row r="806">
      <c r="A806" s="57"/>
    </row>
    <row r="807">
      <c r="A807" s="57"/>
    </row>
    <row r="808">
      <c r="A808" s="57"/>
    </row>
    <row r="809">
      <c r="A809" s="57"/>
    </row>
    <row r="810">
      <c r="A810" s="57"/>
    </row>
    <row r="811">
      <c r="A811" s="57"/>
    </row>
    <row r="812">
      <c r="A812" s="57"/>
    </row>
    <row r="813">
      <c r="A813" s="57"/>
    </row>
    <row r="814">
      <c r="A814" s="57"/>
    </row>
    <row r="815">
      <c r="A815" s="57"/>
    </row>
    <row r="816">
      <c r="A816" s="57"/>
    </row>
    <row r="817">
      <c r="A817" s="57"/>
    </row>
    <row r="818">
      <c r="A818" s="57"/>
    </row>
    <row r="819">
      <c r="A819" s="57"/>
    </row>
    <row r="820">
      <c r="A820" s="57"/>
    </row>
    <row r="821">
      <c r="A821" s="57"/>
    </row>
    <row r="822">
      <c r="A822" s="57"/>
    </row>
    <row r="823">
      <c r="A823" s="57"/>
    </row>
    <row r="824">
      <c r="A824" s="57"/>
    </row>
    <row r="825">
      <c r="A825" s="57"/>
    </row>
    <row r="826">
      <c r="A826" s="57"/>
    </row>
    <row r="827">
      <c r="A827" s="57"/>
    </row>
    <row r="828">
      <c r="A828" s="57"/>
    </row>
    <row r="829">
      <c r="A829" s="57"/>
    </row>
    <row r="830">
      <c r="A830" s="57"/>
    </row>
    <row r="831">
      <c r="A831" s="57"/>
    </row>
    <row r="832">
      <c r="A832" s="57"/>
    </row>
    <row r="833">
      <c r="A833" s="57"/>
    </row>
    <row r="834">
      <c r="A834" s="57"/>
    </row>
    <row r="835">
      <c r="A835" s="57"/>
    </row>
    <row r="836">
      <c r="A836" s="57"/>
    </row>
    <row r="837">
      <c r="A837" s="57"/>
    </row>
    <row r="838">
      <c r="A838" s="57"/>
    </row>
    <row r="839">
      <c r="A839" s="57"/>
    </row>
    <row r="840">
      <c r="A840" s="57"/>
    </row>
    <row r="841">
      <c r="A841" s="57"/>
    </row>
    <row r="842">
      <c r="A842" s="57"/>
    </row>
    <row r="843">
      <c r="A843" s="57"/>
    </row>
    <row r="844">
      <c r="A844" s="57"/>
    </row>
    <row r="845">
      <c r="A845" s="57"/>
    </row>
    <row r="846">
      <c r="A846" s="57"/>
    </row>
    <row r="847">
      <c r="A847" s="57"/>
    </row>
    <row r="848">
      <c r="A848" s="57"/>
    </row>
    <row r="849">
      <c r="A849" s="57"/>
    </row>
    <row r="850">
      <c r="A850" s="57"/>
    </row>
    <row r="851">
      <c r="A851" s="57"/>
    </row>
    <row r="852">
      <c r="A852" s="57"/>
    </row>
    <row r="853">
      <c r="A853" s="57"/>
    </row>
    <row r="854">
      <c r="A854" s="57"/>
    </row>
    <row r="855">
      <c r="A855" s="57"/>
    </row>
    <row r="856">
      <c r="A856" s="57"/>
    </row>
    <row r="857">
      <c r="A857" s="57"/>
    </row>
    <row r="858">
      <c r="A858" s="57"/>
    </row>
    <row r="859">
      <c r="A859" s="57"/>
    </row>
    <row r="860">
      <c r="A860" s="57"/>
    </row>
    <row r="861">
      <c r="A861" s="57"/>
    </row>
    <row r="862">
      <c r="A862" s="57"/>
    </row>
    <row r="863">
      <c r="A863" s="57"/>
    </row>
    <row r="864">
      <c r="A864" s="57"/>
    </row>
    <row r="865">
      <c r="A865" s="57"/>
    </row>
    <row r="866">
      <c r="A866" s="57"/>
    </row>
    <row r="867">
      <c r="A867" s="57"/>
    </row>
    <row r="868">
      <c r="A868" s="57"/>
    </row>
    <row r="869">
      <c r="A869" s="57"/>
    </row>
    <row r="870">
      <c r="A870" s="57"/>
    </row>
    <row r="871">
      <c r="A871" s="57"/>
    </row>
    <row r="872">
      <c r="A872" s="57"/>
    </row>
    <row r="873">
      <c r="A873" s="57"/>
    </row>
    <row r="874">
      <c r="A874" s="57"/>
    </row>
    <row r="875">
      <c r="A875" s="57"/>
    </row>
    <row r="876">
      <c r="A876" s="57"/>
    </row>
    <row r="877">
      <c r="A877" s="57"/>
    </row>
    <row r="878">
      <c r="A878" s="57"/>
    </row>
    <row r="879">
      <c r="A879" s="57"/>
    </row>
    <row r="880">
      <c r="A880" s="57"/>
    </row>
    <row r="881">
      <c r="A881" s="57"/>
    </row>
    <row r="882">
      <c r="A882" s="57"/>
    </row>
    <row r="883">
      <c r="A883" s="57"/>
    </row>
    <row r="884">
      <c r="A884" s="57"/>
    </row>
    <row r="885">
      <c r="A885" s="57"/>
    </row>
    <row r="886">
      <c r="A886" s="57"/>
    </row>
    <row r="887">
      <c r="A887" s="57"/>
    </row>
    <row r="888">
      <c r="A888" s="57"/>
    </row>
    <row r="889">
      <c r="A889" s="57"/>
    </row>
    <row r="890">
      <c r="A890" s="57"/>
    </row>
    <row r="891">
      <c r="A891" s="57"/>
    </row>
    <row r="892">
      <c r="A892" s="57"/>
    </row>
    <row r="893">
      <c r="A893" s="57"/>
    </row>
    <row r="894">
      <c r="A894" s="57"/>
    </row>
    <row r="895">
      <c r="A895" s="57"/>
    </row>
    <row r="896">
      <c r="A896" s="57"/>
    </row>
    <row r="897">
      <c r="A897" s="57"/>
    </row>
    <row r="898">
      <c r="A898" s="57"/>
    </row>
    <row r="899">
      <c r="A899" s="57"/>
    </row>
    <row r="900">
      <c r="A900" s="57"/>
    </row>
    <row r="901">
      <c r="A901" s="57"/>
    </row>
    <row r="902">
      <c r="A902" s="57"/>
    </row>
    <row r="903">
      <c r="A903" s="57"/>
    </row>
    <row r="904">
      <c r="A904" s="57"/>
    </row>
    <row r="905">
      <c r="A905" s="57"/>
    </row>
    <row r="906">
      <c r="A906" s="57"/>
    </row>
    <row r="907">
      <c r="A907" s="57"/>
    </row>
    <row r="908">
      <c r="A908" s="57"/>
    </row>
    <row r="909">
      <c r="A909" s="57"/>
    </row>
    <row r="910">
      <c r="A910" s="57"/>
    </row>
    <row r="911">
      <c r="A911" s="57"/>
    </row>
    <row r="912">
      <c r="A912" s="57"/>
    </row>
    <row r="913">
      <c r="A913" s="57"/>
    </row>
    <row r="914">
      <c r="A914" s="57"/>
    </row>
    <row r="915">
      <c r="A915" s="57"/>
    </row>
    <row r="916">
      <c r="A916" s="57"/>
    </row>
    <row r="917">
      <c r="A917" s="57"/>
    </row>
    <row r="918">
      <c r="A918" s="57"/>
    </row>
    <row r="919">
      <c r="A919" s="57"/>
    </row>
    <row r="920">
      <c r="A920" s="57"/>
    </row>
    <row r="921">
      <c r="A921" s="57"/>
    </row>
    <row r="922">
      <c r="A922" s="57"/>
    </row>
    <row r="923">
      <c r="A923" s="57"/>
    </row>
    <row r="924">
      <c r="A924" s="57"/>
    </row>
    <row r="925">
      <c r="A925" s="57"/>
    </row>
    <row r="926">
      <c r="A926" s="57"/>
    </row>
    <row r="927">
      <c r="A927" s="57"/>
    </row>
    <row r="928">
      <c r="A928" s="57"/>
    </row>
    <row r="929">
      <c r="A929" s="57"/>
    </row>
    <row r="930">
      <c r="A930" s="57"/>
    </row>
    <row r="931">
      <c r="A931" s="57"/>
    </row>
    <row r="932">
      <c r="A932" s="57"/>
    </row>
    <row r="933">
      <c r="A933" s="57"/>
    </row>
    <row r="934">
      <c r="A934" s="57"/>
    </row>
    <row r="935">
      <c r="A935" s="57"/>
    </row>
    <row r="936">
      <c r="A936" s="57"/>
    </row>
    <row r="937">
      <c r="A937" s="57"/>
    </row>
    <row r="938">
      <c r="A938" s="57"/>
    </row>
    <row r="939">
      <c r="A939" s="57"/>
    </row>
    <row r="940">
      <c r="A940" s="57"/>
    </row>
    <row r="941">
      <c r="A941" s="57"/>
    </row>
    <row r="942">
      <c r="A942" s="57"/>
    </row>
    <row r="943">
      <c r="A943" s="57"/>
    </row>
    <row r="944">
      <c r="A944" s="57"/>
    </row>
    <row r="945">
      <c r="A945" s="57"/>
    </row>
    <row r="946">
      <c r="A946" s="57"/>
    </row>
    <row r="947">
      <c r="A947" s="57"/>
    </row>
    <row r="948">
      <c r="A948" s="57"/>
    </row>
    <row r="949">
      <c r="A949" s="57"/>
    </row>
    <row r="950">
      <c r="A950" s="57"/>
    </row>
    <row r="951">
      <c r="A951" s="57"/>
    </row>
    <row r="952">
      <c r="A952" s="57"/>
    </row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3.38"/>
    <col customWidth="1" min="3" max="3" width="13.25"/>
    <col customWidth="1" min="16" max="16" width="11.5"/>
    <col customWidth="1" min="17" max="17" width="15.25"/>
    <col customWidth="1" min="18" max="18" width="14.0"/>
  </cols>
  <sheetData>
    <row r="1">
      <c r="A1" s="51" t="s">
        <v>582</v>
      </c>
      <c r="B1" s="51" t="s">
        <v>583</v>
      </c>
      <c r="C1" s="51" t="s">
        <v>584</v>
      </c>
      <c r="D1" s="51" t="s">
        <v>585</v>
      </c>
      <c r="E1" s="51" t="s">
        <v>586</v>
      </c>
      <c r="F1" s="51" t="s">
        <v>587</v>
      </c>
      <c r="G1" s="51" t="s">
        <v>588</v>
      </c>
      <c r="H1" s="51" t="s">
        <v>589</v>
      </c>
      <c r="I1" s="51" t="s">
        <v>590</v>
      </c>
      <c r="J1" s="51" t="s">
        <v>591</v>
      </c>
      <c r="M1" s="139" t="s">
        <v>592</v>
      </c>
      <c r="N1" s="139" t="s">
        <v>593</v>
      </c>
      <c r="O1" s="139" t="s">
        <v>594</v>
      </c>
      <c r="P1" s="139" t="s">
        <v>595</v>
      </c>
      <c r="Q1" s="139" t="s">
        <v>596</v>
      </c>
      <c r="R1" s="139" t="s">
        <v>597</v>
      </c>
      <c r="S1" s="139" t="s">
        <v>598</v>
      </c>
      <c r="T1" s="139" t="s">
        <v>599</v>
      </c>
    </row>
    <row r="2">
      <c r="A2" s="50" t="s">
        <v>600</v>
      </c>
      <c r="B2" s="50">
        <v>360000.0</v>
      </c>
      <c r="C2" s="50">
        <v>146032.0</v>
      </c>
      <c r="D2" s="50">
        <v>15.0</v>
      </c>
      <c r="E2" s="50">
        <v>8.0</v>
      </c>
      <c r="F2" s="50">
        <v>4.0</v>
      </c>
      <c r="G2" s="49">
        <f t="shared" ref="G2:G3" si="2">E2-F2</f>
        <v>4</v>
      </c>
      <c r="H2" s="50">
        <v>16.0</v>
      </c>
      <c r="I2" s="50">
        <v>7.0</v>
      </c>
      <c r="J2" s="49">
        <f t="shared" ref="J2:J3" si="3">H2-I2</f>
        <v>9</v>
      </c>
      <c r="M2" s="140">
        <v>189092.0</v>
      </c>
      <c r="N2" s="140">
        <v>28367.0</v>
      </c>
      <c r="O2" s="89">
        <v>9.0</v>
      </c>
      <c r="P2" s="89">
        <v>12.0</v>
      </c>
      <c r="Q2" s="49">
        <f t="shared" ref="Q2:R2" si="1">IF(O2&gt;0, M2/O2, 0)
</f>
        <v>21010.22222</v>
      </c>
      <c r="R2" s="49">
        <f t="shared" si="1"/>
        <v>2363.916667</v>
      </c>
      <c r="S2" s="49">
        <f>M2/(M2+N2)
</f>
        <v>0.8695524214</v>
      </c>
      <c r="T2" s="49">
        <f>N2/(M2+N2)
</f>
        <v>0.1304475786</v>
      </c>
    </row>
    <row r="3">
      <c r="A3" s="50" t="s">
        <v>601</v>
      </c>
      <c r="B3" s="50">
        <v>900000.0</v>
      </c>
      <c r="C3" s="50">
        <v>208251.0</v>
      </c>
      <c r="D3" s="50">
        <v>15.0</v>
      </c>
      <c r="E3" s="50">
        <v>8.0</v>
      </c>
      <c r="F3" s="50">
        <v>4.0</v>
      </c>
      <c r="G3" s="49">
        <f t="shared" si="2"/>
        <v>4</v>
      </c>
      <c r="H3" s="50">
        <v>24.0</v>
      </c>
      <c r="I3" s="50">
        <v>12.0</v>
      </c>
      <c r="J3" s="49">
        <f t="shared" si="3"/>
        <v>12</v>
      </c>
      <c r="M3" s="89">
        <v>182616.0</v>
      </c>
      <c r="N3" s="89">
        <v>228641.0</v>
      </c>
      <c r="O3" s="57"/>
      <c r="P3" s="57"/>
    </row>
    <row r="4">
      <c r="M4" s="57"/>
      <c r="N4" s="57"/>
      <c r="O4" s="57"/>
      <c r="P4" s="57"/>
    </row>
    <row r="5">
      <c r="M5" s="57"/>
      <c r="N5" s="57"/>
      <c r="O5" s="57"/>
      <c r="P5" s="57"/>
    </row>
    <row r="6">
      <c r="M6" s="57"/>
      <c r="N6" s="57"/>
      <c r="O6" s="57"/>
      <c r="P6" s="57"/>
    </row>
    <row r="7">
      <c r="M7" s="57"/>
      <c r="N7" s="57"/>
      <c r="O7" s="57"/>
      <c r="P7" s="57"/>
    </row>
    <row r="8">
      <c r="M8" s="57"/>
      <c r="N8" s="57"/>
      <c r="O8" s="57"/>
      <c r="P8" s="57"/>
    </row>
    <row r="9">
      <c r="M9" s="57"/>
      <c r="N9" s="57"/>
      <c r="O9" s="57"/>
      <c r="P9" s="57"/>
    </row>
    <row r="10">
      <c r="M10" s="57"/>
      <c r="N10" s="57"/>
      <c r="O10" s="57"/>
      <c r="P10" s="57"/>
    </row>
    <row r="11">
      <c r="M11" s="57"/>
      <c r="N11" s="57"/>
      <c r="O11" s="57"/>
      <c r="P11" s="57"/>
    </row>
    <row r="12">
      <c r="M12" s="57"/>
      <c r="N12" s="57"/>
      <c r="O12" s="57"/>
      <c r="P12" s="57"/>
    </row>
    <row r="13">
      <c r="M13" s="57"/>
      <c r="N13" s="57"/>
      <c r="O13" s="57"/>
      <c r="P13" s="57"/>
    </row>
    <row r="14">
      <c r="M14" s="57"/>
      <c r="N14" s="57"/>
      <c r="O14" s="57"/>
      <c r="P14" s="57"/>
    </row>
    <row r="15">
      <c r="M15" s="57"/>
      <c r="N15" s="57"/>
      <c r="O15" s="57"/>
      <c r="P15" s="57"/>
    </row>
    <row r="16">
      <c r="M16" s="57"/>
      <c r="N16" s="57"/>
      <c r="O16" s="57"/>
      <c r="P16" s="57"/>
    </row>
    <row r="17">
      <c r="M17" s="57"/>
      <c r="N17" s="57"/>
      <c r="O17" s="57"/>
      <c r="P17" s="57"/>
    </row>
    <row r="18">
      <c r="M18" s="57"/>
      <c r="N18" s="57"/>
      <c r="O18" s="57"/>
      <c r="P18" s="57"/>
    </row>
    <row r="19">
      <c r="M19" s="57"/>
      <c r="N19" s="57"/>
      <c r="O19" s="57"/>
      <c r="P19" s="57"/>
    </row>
    <row r="20">
      <c r="M20" s="57"/>
      <c r="N20" s="57"/>
      <c r="O20" s="57"/>
      <c r="P20" s="57"/>
    </row>
    <row r="21">
      <c r="M21" s="57"/>
      <c r="N21" s="57"/>
      <c r="O21" s="57"/>
      <c r="P21" s="57"/>
    </row>
    <row r="22">
      <c r="M22" s="57"/>
      <c r="N22" s="57"/>
      <c r="O22" s="57"/>
      <c r="P22" s="57"/>
    </row>
    <row r="23">
      <c r="M23" s="57"/>
      <c r="N23" s="57"/>
      <c r="O23" s="57"/>
      <c r="P23" s="57"/>
    </row>
    <row r="24">
      <c r="M24" s="57"/>
      <c r="N24" s="57"/>
      <c r="O24" s="57"/>
      <c r="P24" s="57"/>
    </row>
    <row r="25">
      <c r="M25" s="57"/>
      <c r="N25" s="57"/>
      <c r="O25" s="57"/>
      <c r="P25" s="57"/>
    </row>
    <row r="26">
      <c r="M26" s="57"/>
      <c r="N26" s="57"/>
      <c r="O26" s="57"/>
      <c r="P26" s="57"/>
    </row>
    <row r="27">
      <c r="M27" s="57"/>
      <c r="N27" s="57"/>
      <c r="O27" s="57"/>
      <c r="P27" s="57"/>
    </row>
    <row r="28">
      <c r="M28" s="57"/>
      <c r="N28" s="57"/>
      <c r="O28" s="57"/>
      <c r="P28" s="57"/>
    </row>
    <row r="29">
      <c r="M29" s="57"/>
      <c r="N29" s="57"/>
      <c r="O29" s="57"/>
      <c r="P29" s="57"/>
    </row>
    <row r="30">
      <c r="M30" s="57"/>
      <c r="N30" s="57"/>
      <c r="O30" s="57"/>
      <c r="P30" s="57"/>
    </row>
    <row r="31">
      <c r="M31" s="57"/>
      <c r="N31" s="57"/>
      <c r="O31" s="57"/>
      <c r="P31" s="57"/>
    </row>
    <row r="32">
      <c r="M32" s="57"/>
      <c r="N32" s="57"/>
      <c r="O32" s="57"/>
      <c r="P32" s="57"/>
    </row>
    <row r="33">
      <c r="M33" s="57"/>
      <c r="N33" s="57"/>
      <c r="O33" s="57"/>
      <c r="P33" s="57"/>
    </row>
    <row r="34">
      <c r="M34" s="57"/>
      <c r="N34" s="57"/>
      <c r="O34" s="57"/>
      <c r="P34" s="57"/>
    </row>
    <row r="35">
      <c r="M35" s="57"/>
      <c r="N35" s="57"/>
      <c r="O35" s="57"/>
      <c r="P35" s="57"/>
    </row>
    <row r="36">
      <c r="M36" s="57"/>
      <c r="N36" s="57"/>
      <c r="O36" s="57"/>
      <c r="P36" s="57"/>
    </row>
    <row r="37">
      <c r="M37" s="57"/>
      <c r="N37" s="57"/>
      <c r="O37" s="57"/>
      <c r="P37" s="57"/>
    </row>
    <row r="38">
      <c r="M38" s="57"/>
      <c r="N38" s="57"/>
      <c r="O38" s="57"/>
      <c r="P38" s="57"/>
    </row>
    <row r="39">
      <c r="M39" s="57"/>
      <c r="N39" s="57"/>
      <c r="O39" s="57"/>
      <c r="P39" s="57"/>
    </row>
    <row r="40">
      <c r="M40" s="57"/>
      <c r="N40" s="57"/>
      <c r="O40" s="57"/>
      <c r="P40" s="57"/>
    </row>
    <row r="41">
      <c r="M41" s="57"/>
      <c r="N41" s="57"/>
      <c r="O41" s="57"/>
      <c r="P41" s="57"/>
    </row>
    <row r="42">
      <c r="M42" s="57"/>
      <c r="N42" s="57"/>
      <c r="O42" s="57"/>
      <c r="P42" s="57"/>
    </row>
    <row r="43">
      <c r="M43" s="57"/>
      <c r="N43" s="57"/>
      <c r="O43" s="57"/>
      <c r="P43" s="57"/>
    </row>
    <row r="44">
      <c r="M44" s="57"/>
      <c r="N44" s="57"/>
      <c r="O44" s="57"/>
      <c r="P44" s="57"/>
    </row>
    <row r="45">
      <c r="M45" s="57"/>
      <c r="N45" s="57"/>
      <c r="O45" s="57"/>
      <c r="P45" s="57"/>
    </row>
    <row r="46">
      <c r="M46" s="57"/>
      <c r="N46" s="57"/>
      <c r="O46" s="57"/>
      <c r="P46" s="57"/>
    </row>
    <row r="47">
      <c r="M47" s="57"/>
      <c r="N47" s="57"/>
      <c r="O47" s="57"/>
      <c r="P47" s="57"/>
    </row>
    <row r="48">
      <c r="M48" s="57"/>
      <c r="N48" s="57"/>
      <c r="O48" s="57"/>
      <c r="P48" s="57"/>
    </row>
    <row r="49">
      <c r="M49" s="57"/>
      <c r="N49" s="57"/>
      <c r="O49" s="57"/>
      <c r="P49" s="57"/>
    </row>
    <row r="50">
      <c r="M50" s="57"/>
      <c r="N50" s="57"/>
      <c r="O50" s="57"/>
      <c r="P50" s="57"/>
    </row>
    <row r="51">
      <c r="M51" s="57"/>
      <c r="N51" s="57"/>
      <c r="O51" s="57"/>
      <c r="P51" s="57"/>
    </row>
    <row r="52">
      <c r="M52" s="57"/>
      <c r="N52" s="57"/>
      <c r="O52" s="57"/>
      <c r="P52" s="57"/>
    </row>
    <row r="53">
      <c r="M53" s="57"/>
      <c r="N53" s="57"/>
      <c r="O53" s="57"/>
      <c r="P53" s="57"/>
    </row>
    <row r="54">
      <c r="M54" s="57"/>
      <c r="N54" s="57"/>
      <c r="O54" s="57"/>
      <c r="P54" s="57"/>
    </row>
    <row r="55">
      <c r="M55" s="57"/>
      <c r="N55" s="57"/>
      <c r="O55" s="57"/>
      <c r="P55" s="57"/>
    </row>
    <row r="56">
      <c r="M56" s="57"/>
      <c r="N56" s="57"/>
      <c r="O56" s="57"/>
      <c r="P56" s="57"/>
    </row>
    <row r="57">
      <c r="M57" s="57"/>
      <c r="N57" s="57"/>
      <c r="O57" s="57"/>
      <c r="P57" s="57"/>
    </row>
    <row r="58">
      <c r="M58" s="57"/>
      <c r="N58" s="57"/>
      <c r="O58" s="57"/>
      <c r="P58" s="57"/>
    </row>
    <row r="59">
      <c r="M59" s="57"/>
      <c r="N59" s="57"/>
      <c r="O59" s="57"/>
      <c r="P59" s="57"/>
    </row>
    <row r="60">
      <c r="M60" s="57"/>
      <c r="N60" s="57"/>
      <c r="O60" s="57"/>
      <c r="P60" s="57"/>
    </row>
    <row r="61">
      <c r="M61" s="57"/>
      <c r="N61" s="57"/>
      <c r="O61" s="57"/>
      <c r="P61" s="57"/>
    </row>
    <row r="62">
      <c r="M62" s="57"/>
      <c r="N62" s="57"/>
      <c r="O62" s="57"/>
      <c r="P62" s="57"/>
    </row>
    <row r="63">
      <c r="M63" s="57"/>
      <c r="N63" s="57"/>
      <c r="O63" s="57"/>
      <c r="P63" s="57"/>
    </row>
    <row r="64">
      <c r="M64" s="57"/>
      <c r="N64" s="57"/>
      <c r="O64" s="57"/>
      <c r="P64" s="57"/>
    </row>
    <row r="65">
      <c r="M65" s="57"/>
      <c r="N65" s="57"/>
      <c r="O65" s="57"/>
      <c r="P65" s="57"/>
    </row>
    <row r="66">
      <c r="M66" s="57"/>
      <c r="N66" s="57"/>
      <c r="O66" s="57"/>
      <c r="P66" s="57"/>
    </row>
    <row r="67">
      <c r="M67" s="57"/>
      <c r="N67" s="57"/>
      <c r="O67" s="57"/>
      <c r="P67" s="57"/>
    </row>
    <row r="68">
      <c r="M68" s="57"/>
      <c r="N68" s="57"/>
      <c r="O68" s="57"/>
      <c r="P68" s="57"/>
    </row>
    <row r="69">
      <c r="M69" s="57"/>
      <c r="N69" s="57"/>
      <c r="O69" s="57"/>
      <c r="P69" s="57"/>
    </row>
    <row r="70">
      <c r="M70" s="57"/>
      <c r="N70" s="57"/>
      <c r="O70" s="57"/>
      <c r="P70" s="57"/>
    </row>
    <row r="71">
      <c r="M71" s="57"/>
      <c r="N71" s="57"/>
      <c r="O71" s="57"/>
      <c r="P71" s="57"/>
    </row>
    <row r="72">
      <c r="M72" s="57"/>
      <c r="N72" s="57"/>
      <c r="O72" s="57"/>
      <c r="P72" s="57"/>
    </row>
    <row r="73">
      <c r="M73" s="57"/>
      <c r="N73" s="57"/>
      <c r="O73" s="57"/>
      <c r="P73" s="57"/>
    </row>
    <row r="74">
      <c r="M74" s="57"/>
      <c r="N74" s="57"/>
      <c r="O74" s="57"/>
      <c r="P74" s="57"/>
    </row>
    <row r="75">
      <c r="M75" s="57"/>
      <c r="N75" s="57"/>
      <c r="O75" s="57"/>
      <c r="P75" s="57"/>
    </row>
    <row r="76">
      <c r="M76" s="57"/>
      <c r="N76" s="57"/>
      <c r="O76" s="57"/>
      <c r="P76" s="57"/>
    </row>
    <row r="77">
      <c r="M77" s="57"/>
      <c r="N77" s="57"/>
      <c r="O77" s="57"/>
      <c r="P77" s="57"/>
    </row>
    <row r="78">
      <c r="M78" s="57"/>
      <c r="N78" s="57"/>
      <c r="O78" s="57"/>
      <c r="P78" s="57"/>
    </row>
    <row r="79">
      <c r="M79" s="57"/>
      <c r="N79" s="57"/>
      <c r="O79" s="57"/>
      <c r="P79" s="57"/>
    </row>
    <row r="80">
      <c r="M80" s="57"/>
      <c r="N80" s="57"/>
      <c r="O80" s="57"/>
      <c r="P80" s="57"/>
    </row>
    <row r="81">
      <c r="M81" s="57"/>
      <c r="N81" s="57"/>
      <c r="O81" s="57"/>
      <c r="P81" s="57"/>
    </row>
    <row r="82">
      <c r="M82" s="57"/>
      <c r="N82" s="57"/>
      <c r="O82" s="57"/>
      <c r="P82" s="57"/>
    </row>
    <row r="83">
      <c r="M83" s="57"/>
      <c r="N83" s="57"/>
      <c r="O83" s="57"/>
      <c r="P83" s="57"/>
    </row>
    <row r="84">
      <c r="M84" s="57"/>
      <c r="N84" s="57"/>
      <c r="O84" s="57"/>
      <c r="P84" s="57"/>
    </row>
    <row r="85">
      <c r="M85" s="57"/>
      <c r="N85" s="57"/>
      <c r="O85" s="57"/>
      <c r="P85" s="57"/>
    </row>
    <row r="86">
      <c r="M86" s="57"/>
      <c r="N86" s="57"/>
      <c r="O86" s="57"/>
      <c r="P86" s="57"/>
    </row>
    <row r="87">
      <c r="M87" s="57"/>
      <c r="N87" s="57"/>
      <c r="O87" s="57"/>
      <c r="P87" s="57"/>
    </row>
    <row r="88">
      <c r="M88" s="57"/>
      <c r="N88" s="57"/>
      <c r="O88" s="57"/>
      <c r="P88" s="57"/>
    </row>
    <row r="89">
      <c r="M89" s="57"/>
      <c r="N89" s="57"/>
      <c r="O89" s="57"/>
      <c r="P89" s="57"/>
    </row>
    <row r="90">
      <c r="M90" s="57"/>
      <c r="N90" s="57"/>
      <c r="O90" s="57"/>
      <c r="P90" s="57"/>
    </row>
    <row r="91">
      <c r="M91" s="57"/>
      <c r="N91" s="57"/>
      <c r="O91" s="57"/>
      <c r="P91" s="57"/>
    </row>
    <row r="92">
      <c r="M92" s="57"/>
      <c r="N92" s="57"/>
      <c r="O92" s="57"/>
      <c r="P92" s="57"/>
    </row>
    <row r="93">
      <c r="M93" s="57"/>
      <c r="N93" s="57"/>
      <c r="O93" s="57"/>
      <c r="P93" s="57"/>
    </row>
    <row r="94">
      <c r="M94" s="57"/>
      <c r="N94" s="57"/>
      <c r="O94" s="57"/>
      <c r="P94" s="57"/>
    </row>
    <row r="95">
      <c r="M95" s="57"/>
      <c r="N95" s="57"/>
      <c r="O95" s="57"/>
      <c r="P95" s="57"/>
    </row>
    <row r="96">
      <c r="M96" s="57"/>
      <c r="N96" s="57"/>
      <c r="O96" s="57"/>
      <c r="P96" s="57"/>
    </row>
    <row r="97">
      <c r="M97" s="57"/>
      <c r="N97" s="57"/>
      <c r="O97" s="57"/>
      <c r="P97" s="57"/>
    </row>
    <row r="98">
      <c r="M98" s="57"/>
      <c r="N98" s="57"/>
      <c r="O98" s="57"/>
      <c r="P98" s="57"/>
    </row>
    <row r="99">
      <c r="M99" s="57"/>
      <c r="N99" s="57"/>
      <c r="O99" s="57"/>
      <c r="P99" s="57"/>
    </row>
    <row r="100">
      <c r="M100" s="57"/>
      <c r="N100" s="57"/>
      <c r="O100" s="57"/>
      <c r="P100" s="57"/>
    </row>
    <row r="101">
      <c r="M101" s="57"/>
      <c r="N101" s="57"/>
      <c r="O101" s="57"/>
      <c r="P101" s="57"/>
    </row>
    <row r="102">
      <c r="M102" s="57"/>
      <c r="N102" s="57"/>
      <c r="O102" s="57"/>
      <c r="P102" s="57"/>
    </row>
    <row r="103">
      <c r="M103" s="57"/>
      <c r="N103" s="57"/>
      <c r="O103" s="57"/>
      <c r="P103" s="57"/>
    </row>
    <row r="104">
      <c r="M104" s="57"/>
      <c r="N104" s="57"/>
      <c r="O104" s="57"/>
      <c r="P104" s="57"/>
    </row>
    <row r="105">
      <c r="M105" s="57"/>
      <c r="N105" s="57"/>
      <c r="O105" s="57"/>
      <c r="P105" s="57"/>
    </row>
    <row r="106">
      <c r="M106" s="57"/>
      <c r="N106" s="57"/>
      <c r="O106" s="57"/>
      <c r="P106" s="57"/>
    </row>
    <row r="107">
      <c r="M107" s="57"/>
      <c r="N107" s="57"/>
      <c r="O107" s="57"/>
      <c r="P107" s="57"/>
    </row>
    <row r="108">
      <c r="M108" s="57"/>
      <c r="N108" s="57"/>
      <c r="O108" s="57"/>
      <c r="P108" s="57"/>
    </row>
    <row r="109">
      <c r="M109" s="57"/>
      <c r="N109" s="57"/>
      <c r="O109" s="57"/>
      <c r="P109" s="57"/>
    </row>
    <row r="110">
      <c r="M110" s="57"/>
      <c r="N110" s="57"/>
      <c r="O110" s="57"/>
      <c r="P110" s="57"/>
    </row>
    <row r="111">
      <c r="M111" s="57"/>
      <c r="N111" s="57"/>
      <c r="O111" s="57"/>
      <c r="P111" s="57"/>
    </row>
    <row r="112">
      <c r="M112" s="57"/>
      <c r="N112" s="57"/>
      <c r="O112" s="57"/>
      <c r="P112" s="57"/>
    </row>
    <row r="113">
      <c r="M113" s="57"/>
      <c r="N113" s="57"/>
      <c r="O113" s="57"/>
      <c r="P113" s="57"/>
    </row>
    <row r="114">
      <c r="M114" s="57"/>
      <c r="N114" s="57"/>
      <c r="O114" s="57"/>
      <c r="P114" s="57"/>
    </row>
    <row r="115">
      <c r="M115" s="57"/>
      <c r="N115" s="57"/>
      <c r="O115" s="57"/>
      <c r="P115" s="57"/>
    </row>
    <row r="116">
      <c r="M116" s="57"/>
      <c r="N116" s="57"/>
      <c r="O116" s="57"/>
      <c r="P116" s="57"/>
    </row>
    <row r="117">
      <c r="M117" s="57"/>
      <c r="N117" s="57"/>
      <c r="O117" s="57"/>
      <c r="P117" s="57"/>
    </row>
    <row r="118">
      <c r="M118" s="57"/>
      <c r="N118" s="57"/>
      <c r="O118" s="57"/>
      <c r="P118" s="57"/>
    </row>
    <row r="119">
      <c r="M119" s="57"/>
      <c r="N119" s="57"/>
      <c r="O119" s="57"/>
      <c r="P119" s="57"/>
    </row>
    <row r="120">
      <c r="M120" s="57"/>
      <c r="N120" s="57"/>
      <c r="O120" s="57"/>
      <c r="P120" s="57"/>
    </row>
    <row r="121">
      <c r="M121" s="57"/>
      <c r="N121" s="57"/>
      <c r="O121" s="57"/>
      <c r="P121" s="57"/>
    </row>
    <row r="122">
      <c r="M122" s="57"/>
      <c r="N122" s="57"/>
      <c r="O122" s="57"/>
      <c r="P122" s="57"/>
    </row>
    <row r="123">
      <c r="M123" s="57"/>
      <c r="N123" s="57"/>
      <c r="O123" s="57"/>
      <c r="P123" s="57"/>
    </row>
    <row r="124">
      <c r="M124" s="57"/>
      <c r="N124" s="57"/>
      <c r="O124" s="57"/>
      <c r="P124" s="57"/>
    </row>
    <row r="125">
      <c r="M125" s="57"/>
      <c r="N125" s="57"/>
      <c r="O125" s="57"/>
      <c r="P125" s="57"/>
    </row>
    <row r="126">
      <c r="M126" s="57"/>
      <c r="N126" s="57"/>
      <c r="O126" s="57"/>
      <c r="P126" s="57"/>
    </row>
    <row r="127">
      <c r="M127" s="57"/>
      <c r="N127" s="57"/>
      <c r="O127" s="57"/>
      <c r="P127" s="57"/>
    </row>
    <row r="128">
      <c r="M128" s="57"/>
      <c r="N128" s="57"/>
      <c r="O128" s="57"/>
      <c r="P128" s="57"/>
    </row>
    <row r="129">
      <c r="M129" s="57"/>
      <c r="N129" s="57"/>
      <c r="O129" s="57"/>
      <c r="P129" s="57"/>
    </row>
    <row r="130">
      <c r="M130" s="57"/>
      <c r="N130" s="57"/>
      <c r="O130" s="57"/>
      <c r="P130" s="57"/>
    </row>
    <row r="131">
      <c r="M131" s="57"/>
      <c r="N131" s="57"/>
      <c r="O131" s="57"/>
      <c r="P131" s="57"/>
    </row>
    <row r="132">
      <c r="M132" s="57"/>
      <c r="N132" s="57"/>
      <c r="O132" s="57"/>
      <c r="P132" s="57"/>
    </row>
    <row r="133">
      <c r="M133" s="57"/>
      <c r="N133" s="57"/>
      <c r="O133" s="57"/>
      <c r="P133" s="57"/>
    </row>
    <row r="134">
      <c r="M134" s="57"/>
      <c r="N134" s="57"/>
      <c r="O134" s="57"/>
      <c r="P134" s="57"/>
    </row>
    <row r="135">
      <c r="M135" s="57"/>
      <c r="N135" s="57"/>
      <c r="O135" s="57"/>
      <c r="P135" s="57"/>
    </row>
    <row r="136">
      <c r="M136" s="57"/>
      <c r="N136" s="57"/>
      <c r="O136" s="57"/>
      <c r="P136" s="57"/>
    </row>
    <row r="137">
      <c r="M137" s="57"/>
      <c r="N137" s="57"/>
      <c r="O137" s="57"/>
      <c r="P137" s="57"/>
    </row>
    <row r="138">
      <c r="M138" s="57"/>
      <c r="N138" s="57"/>
      <c r="O138" s="57"/>
      <c r="P138" s="57"/>
    </row>
    <row r="139">
      <c r="M139" s="57"/>
      <c r="N139" s="57"/>
      <c r="O139" s="57"/>
      <c r="P139" s="57"/>
    </row>
    <row r="140">
      <c r="M140" s="57"/>
      <c r="N140" s="57"/>
      <c r="O140" s="57"/>
      <c r="P140" s="57"/>
    </row>
    <row r="141">
      <c r="M141" s="57"/>
      <c r="N141" s="57"/>
      <c r="O141" s="57"/>
      <c r="P141" s="57"/>
    </row>
    <row r="142">
      <c r="M142" s="57"/>
      <c r="N142" s="57"/>
      <c r="O142" s="57"/>
      <c r="P142" s="57"/>
    </row>
    <row r="143">
      <c r="M143" s="57"/>
      <c r="N143" s="57"/>
      <c r="O143" s="57"/>
      <c r="P143" s="57"/>
    </row>
    <row r="144">
      <c r="M144" s="57"/>
      <c r="N144" s="57"/>
      <c r="O144" s="57"/>
      <c r="P144" s="57"/>
    </row>
    <row r="145">
      <c r="M145" s="57"/>
      <c r="N145" s="57"/>
      <c r="O145" s="57"/>
      <c r="P145" s="57"/>
    </row>
    <row r="146">
      <c r="M146" s="57"/>
      <c r="N146" s="57"/>
      <c r="O146" s="57"/>
      <c r="P146" s="57"/>
    </row>
    <row r="147">
      <c r="M147" s="57"/>
      <c r="N147" s="57"/>
      <c r="O147" s="57"/>
      <c r="P147" s="57"/>
    </row>
    <row r="148">
      <c r="M148" s="57"/>
      <c r="N148" s="57"/>
      <c r="O148" s="57"/>
      <c r="P148" s="57"/>
    </row>
    <row r="149">
      <c r="M149" s="57"/>
      <c r="N149" s="57"/>
      <c r="O149" s="57"/>
      <c r="P149" s="57"/>
    </row>
    <row r="150">
      <c r="M150" s="57"/>
      <c r="N150" s="57"/>
      <c r="O150" s="57"/>
      <c r="P150" s="57"/>
    </row>
    <row r="151">
      <c r="M151" s="57"/>
      <c r="N151" s="57"/>
      <c r="O151" s="57"/>
      <c r="P151" s="57"/>
    </row>
    <row r="152">
      <c r="M152" s="57"/>
      <c r="N152" s="57"/>
      <c r="O152" s="57"/>
      <c r="P152" s="57"/>
    </row>
    <row r="153">
      <c r="M153" s="57"/>
      <c r="N153" s="57"/>
      <c r="O153" s="57"/>
      <c r="P153" s="57"/>
    </row>
    <row r="154">
      <c r="M154" s="57"/>
      <c r="N154" s="57"/>
      <c r="O154" s="57"/>
      <c r="P154" s="57"/>
    </row>
    <row r="155">
      <c r="M155" s="57"/>
      <c r="N155" s="57"/>
      <c r="O155" s="57"/>
      <c r="P155" s="57"/>
    </row>
    <row r="156">
      <c r="M156" s="57"/>
      <c r="N156" s="57"/>
      <c r="O156" s="57"/>
      <c r="P156" s="57"/>
    </row>
    <row r="157">
      <c r="M157" s="57"/>
      <c r="N157" s="57"/>
      <c r="O157" s="57"/>
      <c r="P157" s="57"/>
    </row>
    <row r="158">
      <c r="M158" s="57"/>
      <c r="N158" s="57"/>
      <c r="O158" s="57"/>
      <c r="P158" s="57"/>
    </row>
    <row r="159">
      <c r="M159" s="57"/>
      <c r="N159" s="57"/>
      <c r="O159" s="57"/>
      <c r="P159" s="57"/>
    </row>
    <row r="160">
      <c r="M160" s="57"/>
      <c r="N160" s="57"/>
      <c r="O160" s="57"/>
      <c r="P160" s="57"/>
    </row>
    <row r="161">
      <c r="M161" s="57"/>
      <c r="N161" s="57"/>
      <c r="O161" s="57"/>
      <c r="P161" s="57"/>
    </row>
    <row r="162">
      <c r="M162" s="57"/>
      <c r="N162" s="57"/>
      <c r="O162" s="57"/>
      <c r="P162" s="57"/>
    </row>
    <row r="163">
      <c r="M163" s="57"/>
      <c r="N163" s="57"/>
      <c r="O163" s="57"/>
      <c r="P163" s="57"/>
    </row>
    <row r="164">
      <c r="M164" s="57"/>
      <c r="N164" s="57"/>
      <c r="O164" s="57"/>
      <c r="P164" s="57"/>
    </row>
    <row r="165">
      <c r="M165" s="57"/>
      <c r="N165" s="57"/>
      <c r="O165" s="57"/>
      <c r="P165" s="57"/>
    </row>
    <row r="166">
      <c r="M166" s="57"/>
      <c r="N166" s="57"/>
      <c r="O166" s="57"/>
      <c r="P166" s="57"/>
    </row>
    <row r="167">
      <c r="M167" s="57"/>
      <c r="N167" s="57"/>
      <c r="O167" s="57"/>
      <c r="P167" s="57"/>
    </row>
    <row r="168">
      <c r="M168" s="57"/>
      <c r="N168" s="57"/>
      <c r="O168" s="57"/>
      <c r="P168" s="57"/>
    </row>
    <row r="169">
      <c r="M169" s="57"/>
      <c r="N169" s="57"/>
      <c r="O169" s="57"/>
      <c r="P169" s="57"/>
    </row>
    <row r="170">
      <c r="M170" s="57"/>
      <c r="N170" s="57"/>
      <c r="O170" s="57"/>
      <c r="P170" s="57"/>
    </row>
    <row r="171">
      <c r="M171" s="57"/>
      <c r="N171" s="57"/>
      <c r="O171" s="57"/>
      <c r="P171" s="57"/>
    </row>
    <row r="172">
      <c r="M172" s="57"/>
      <c r="N172" s="57"/>
      <c r="O172" s="57"/>
      <c r="P172" s="57"/>
    </row>
    <row r="173">
      <c r="M173" s="57"/>
      <c r="N173" s="57"/>
      <c r="O173" s="57"/>
      <c r="P173" s="57"/>
    </row>
    <row r="174">
      <c r="M174" s="57"/>
      <c r="N174" s="57"/>
      <c r="O174" s="57"/>
      <c r="P174" s="57"/>
    </row>
    <row r="175">
      <c r="M175" s="57"/>
      <c r="N175" s="57"/>
      <c r="O175" s="57"/>
      <c r="P175" s="57"/>
    </row>
    <row r="176">
      <c r="M176" s="57"/>
      <c r="N176" s="57"/>
      <c r="O176" s="57"/>
      <c r="P176" s="57"/>
    </row>
    <row r="177">
      <c r="M177" s="57"/>
      <c r="N177" s="57"/>
      <c r="O177" s="57"/>
      <c r="P177" s="57"/>
    </row>
    <row r="178">
      <c r="M178" s="57"/>
      <c r="N178" s="57"/>
      <c r="O178" s="57"/>
      <c r="P178" s="57"/>
    </row>
    <row r="179">
      <c r="M179" s="57"/>
      <c r="N179" s="57"/>
      <c r="O179" s="57"/>
      <c r="P179" s="57"/>
    </row>
    <row r="180">
      <c r="M180" s="57"/>
      <c r="N180" s="57"/>
      <c r="O180" s="57"/>
      <c r="P180" s="57"/>
    </row>
    <row r="181">
      <c r="M181" s="57"/>
      <c r="N181" s="57"/>
      <c r="O181" s="57"/>
      <c r="P181" s="57"/>
    </row>
    <row r="182">
      <c r="M182" s="57"/>
      <c r="N182" s="57"/>
      <c r="O182" s="57"/>
      <c r="P182" s="57"/>
    </row>
    <row r="183">
      <c r="M183" s="57"/>
      <c r="N183" s="57"/>
      <c r="O183" s="57"/>
      <c r="P183" s="57"/>
    </row>
    <row r="184">
      <c r="M184" s="57"/>
      <c r="N184" s="57"/>
      <c r="O184" s="57"/>
      <c r="P184" s="57"/>
    </row>
    <row r="185">
      <c r="M185" s="57"/>
      <c r="N185" s="57"/>
      <c r="O185" s="57"/>
      <c r="P185" s="57"/>
    </row>
    <row r="186">
      <c r="M186" s="57"/>
      <c r="N186" s="57"/>
      <c r="O186" s="57"/>
      <c r="P186" s="57"/>
    </row>
    <row r="187">
      <c r="M187" s="57"/>
      <c r="N187" s="57"/>
      <c r="O187" s="57"/>
      <c r="P187" s="57"/>
    </row>
    <row r="188">
      <c r="M188" s="57"/>
      <c r="N188" s="57"/>
      <c r="O188" s="57"/>
      <c r="P188" s="57"/>
    </row>
    <row r="189">
      <c r="M189" s="57"/>
      <c r="N189" s="57"/>
      <c r="O189" s="57"/>
      <c r="P189" s="57"/>
    </row>
    <row r="190">
      <c r="M190" s="57"/>
      <c r="N190" s="57"/>
      <c r="O190" s="57"/>
      <c r="P190" s="57"/>
    </row>
    <row r="191">
      <c r="M191" s="57"/>
      <c r="N191" s="57"/>
      <c r="O191" s="57"/>
      <c r="P191" s="57"/>
    </row>
    <row r="192">
      <c r="M192" s="57"/>
      <c r="N192" s="57"/>
      <c r="O192" s="57"/>
      <c r="P192" s="57"/>
    </row>
    <row r="193">
      <c r="M193" s="57"/>
      <c r="N193" s="57"/>
      <c r="O193" s="57"/>
      <c r="P193" s="57"/>
    </row>
    <row r="194">
      <c r="M194" s="57"/>
      <c r="N194" s="57"/>
      <c r="O194" s="57"/>
      <c r="P194" s="57"/>
    </row>
    <row r="195">
      <c r="M195" s="57"/>
      <c r="N195" s="57"/>
      <c r="O195" s="57"/>
      <c r="P195" s="57"/>
    </row>
    <row r="196">
      <c r="M196" s="57"/>
      <c r="N196" s="57"/>
      <c r="O196" s="57"/>
      <c r="P196" s="57"/>
    </row>
    <row r="197">
      <c r="M197" s="57"/>
      <c r="N197" s="57"/>
      <c r="O197" s="57"/>
      <c r="P197" s="57"/>
    </row>
    <row r="198">
      <c r="M198" s="57"/>
      <c r="N198" s="57"/>
      <c r="O198" s="57"/>
      <c r="P198" s="57"/>
    </row>
    <row r="199">
      <c r="M199" s="57"/>
      <c r="N199" s="57"/>
      <c r="O199" s="57"/>
      <c r="P199" s="57"/>
    </row>
    <row r="200">
      <c r="M200" s="57"/>
      <c r="N200" s="57"/>
      <c r="O200" s="57"/>
      <c r="P200" s="57"/>
    </row>
    <row r="201">
      <c r="M201" s="57"/>
      <c r="N201" s="57"/>
      <c r="O201" s="57"/>
      <c r="P201" s="57"/>
    </row>
    <row r="202">
      <c r="M202" s="57"/>
      <c r="N202" s="57"/>
      <c r="O202" s="57"/>
      <c r="P202" s="57"/>
    </row>
    <row r="203">
      <c r="M203" s="57"/>
      <c r="N203" s="57"/>
      <c r="O203" s="57"/>
      <c r="P203" s="57"/>
    </row>
    <row r="204">
      <c r="M204" s="57"/>
      <c r="N204" s="57"/>
      <c r="O204" s="57"/>
      <c r="P204" s="57"/>
    </row>
    <row r="205">
      <c r="M205" s="57"/>
      <c r="N205" s="57"/>
      <c r="O205" s="57"/>
      <c r="P205" s="57"/>
    </row>
    <row r="206">
      <c r="M206" s="57"/>
      <c r="N206" s="57"/>
      <c r="O206" s="57"/>
      <c r="P206" s="57"/>
    </row>
    <row r="207">
      <c r="M207" s="57"/>
      <c r="N207" s="57"/>
      <c r="O207" s="57"/>
      <c r="P207" s="57"/>
    </row>
    <row r="208">
      <c r="M208" s="57"/>
      <c r="N208" s="57"/>
      <c r="O208" s="57"/>
      <c r="P208" s="57"/>
    </row>
    <row r="209">
      <c r="M209" s="57"/>
      <c r="N209" s="57"/>
      <c r="O209" s="57"/>
      <c r="P209" s="57"/>
    </row>
    <row r="210">
      <c r="M210" s="57"/>
      <c r="N210" s="57"/>
      <c r="O210" s="57"/>
      <c r="P210" s="57"/>
    </row>
    <row r="211">
      <c r="M211" s="57"/>
      <c r="N211" s="57"/>
      <c r="O211" s="57"/>
      <c r="P211" s="57"/>
    </row>
    <row r="212">
      <c r="M212" s="57"/>
      <c r="N212" s="57"/>
      <c r="O212" s="57"/>
      <c r="P212" s="57"/>
    </row>
    <row r="213">
      <c r="M213" s="57"/>
      <c r="N213" s="57"/>
      <c r="O213" s="57"/>
      <c r="P213" s="57"/>
    </row>
    <row r="214">
      <c r="M214" s="57"/>
      <c r="N214" s="57"/>
      <c r="O214" s="57"/>
      <c r="P214" s="57"/>
    </row>
    <row r="215">
      <c r="M215" s="57"/>
      <c r="N215" s="57"/>
      <c r="O215" s="57"/>
      <c r="P215" s="57"/>
    </row>
    <row r="216">
      <c r="M216" s="57"/>
      <c r="N216" s="57"/>
      <c r="O216" s="57"/>
      <c r="P216" s="57"/>
    </row>
    <row r="217">
      <c r="M217" s="57"/>
      <c r="N217" s="57"/>
      <c r="O217" s="57"/>
      <c r="P217" s="57"/>
    </row>
    <row r="218">
      <c r="M218" s="57"/>
      <c r="N218" s="57"/>
      <c r="O218" s="57"/>
      <c r="P218" s="57"/>
    </row>
    <row r="219">
      <c r="M219" s="57"/>
      <c r="N219" s="57"/>
      <c r="O219" s="57"/>
      <c r="P219" s="57"/>
    </row>
    <row r="220">
      <c r="M220" s="57"/>
      <c r="N220" s="57"/>
      <c r="O220" s="57"/>
      <c r="P220" s="57"/>
    </row>
    <row r="221">
      <c r="M221" s="57"/>
      <c r="N221" s="57"/>
      <c r="O221" s="57"/>
      <c r="P221" s="57"/>
    </row>
    <row r="222">
      <c r="M222" s="57"/>
      <c r="N222" s="57"/>
      <c r="O222" s="57"/>
      <c r="P222" s="57"/>
    </row>
    <row r="223">
      <c r="M223" s="57"/>
      <c r="N223" s="57"/>
      <c r="O223" s="57"/>
      <c r="P223" s="57"/>
    </row>
    <row r="224">
      <c r="M224" s="57"/>
      <c r="N224" s="57"/>
      <c r="O224" s="57"/>
      <c r="P224" s="57"/>
    </row>
    <row r="225">
      <c r="M225" s="57"/>
      <c r="N225" s="57"/>
      <c r="O225" s="57"/>
      <c r="P225" s="57"/>
    </row>
    <row r="226">
      <c r="M226" s="57"/>
      <c r="N226" s="57"/>
      <c r="O226" s="57"/>
      <c r="P226" s="57"/>
    </row>
    <row r="227">
      <c r="M227" s="57"/>
      <c r="N227" s="57"/>
      <c r="O227" s="57"/>
      <c r="P227" s="57"/>
    </row>
    <row r="228">
      <c r="M228" s="57"/>
      <c r="N228" s="57"/>
      <c r="O228" s="57"/>
      <c r="P228" s="57"/>
    </row>
    <row r="229">
      <c r="M229" s="57"/>
      <c r="N229" s="57"/>
      <c r="O229" s="57"/>
      <c r="P229" s="57"/>
    </row>
    <row r="230">
      <c r="M230" s="57"/>
      <c r="N230" s="57"/>
      <c r="O230" s="57"/>
      <c r="P230" s="57"/>
    </row>
    <row r="231">
      <c r="M231" s="57"/>
      <c r="N231" s="57"/>
      <c r="O231" s="57"/>
      <c r="P231" s="57"/>
    </row>
    <row r="232">
      <c r="M232" s="57"/>
      <c r="N232" s="57"/>
      <c r="O232" s="57"/>
      <c r="P232" s="57"/>
    </row>
    <row r="233">
      <c r="M233" s="57"/>
      <c r="N233" s="57"/>
      <c r="O233" s="57"/>
      <c r="P233" s="57"/>
    </row>
    <row r="234">
      <c r="M234" s="57"/>
      <c r="N234" s="57"/>
      <c r="O234" s="57"/>
      <c r="P234" s="57"/>
    </row>
    <row r="235">
      <c r="M235" s="57"/>
      <c r="N235" s="57"/>
      <c r="O235" s="57"/>
      <c r="P235" s="57"/>
    </row>
    <row r="236">
      <c r="M236" s="57"/>
      <c r="N236" s="57"/>
      <c r="O236" s="57"/>
      <c r="P236" s="57"/>
    </row>
    <row r="237">
      <c r="M237" s="57"/>
      <c r="N237" s="57"/>
      <c r="O237" s="57"/>
      <c r="P237" s="57"/>
    </row>
    <row r="238">
      <c r="M238" s="57"/>
      <c r="N238" s="57"/>
      <c r="O238" s="57"/>
      <c r="P238" s="57"/>
    </row>
    <row r="239">
      <c r="M239" s="57"/>
      <c r="N239" s="57"/>
      <c r="O239" s="57"/>
      <c r="P239" s="57"/>
    </row>
    <row r="240">
      <c r="M240" s="57"/>
      <c r="N240" s="57"/>
      <c r="O240" s="57"/>
      <c r="P240" s="57"/>
    </row>
    <row r="241">
      <c r="M241" s="57"/>
      <c r="N241" s="57"/>
      <c r="O241" s="57"/>
      <c r="P241" s="57"/>
    </row>
    <row r="242">
      <c r="M242" s="57"/>
      <c r="N242" s="57"/>
      <c r="O242" s="57"/>
      <c r="P242" s="57"/>
    </row>
    <row r="243">
      <c r="M243" s="57"/>
      <c r="N243" s="57"/>
      <c r="O243" s="57"/>
      <c r="P243" s="57"/>
    </row>
    <row r="244">
      <c r="M244" s="57"/>
      <c r="N244" s="57"/>
      <c r="O244" s="57"/>
      <c r="P244" s="57"/>
    </row>
    <row r="245">
      <c r="M245" s="57"/>
      <c r="N245" s="57"/>
      <c r="O245" s="57"/>
      <c r="P245" s="57"/>
    </row>
    <row r="246">
      <c r="M246" s="57"/>
      <c r="N246" s="57"/>
      <c r="O246" s="57"/>
      <c r="P246" s="57"/>
    </row>
    <row r="247">
      <c r="M247" s="57"/>
      <c r="N247" s="57"/>
      <c r="O247" s="57"/>
      <c r="P247" s="57"/>
    </row>
    <row r="248">
      <c r="M248" s="57"/>
      <c r="N248" s="57"/>
      <c r="O248" s="57"/>
      <c r="P248" s="57"/>
    </row>
    <row r="249">
      <c r="M249" s="57"/>
      <c r="N249" s="57"/>
      <c r="O249" s="57"/>
      <c r="P249" s="57"/>
    </row>
    <row r="250">
      <c r="M250" s="57"/>
      <c r="N250" s="57"/>
      <c r="O250" s="57"/>
      <c r="P250" s="57"/>
    </row>
    <row r="251">
      <c r="M251" s="57"/>
      <c r="N251" s="57"/>
      <c r="O251" s="57"/>
      <c r="P251" s="57"/>
    </row>
    <row r="252">
      <c r="M252" s="57"/>
      <c r="N252" s="57"/>
      <c r="O252" s="57"/>
      <c r="P252" s="57"/>
    </row>
    <row r="253">
      <c r="M253" s="57"/>
      <c r="N253" s="57"/>
      <c r="O253" s="57"/>
      <c r="P253" s="57"/>
    </row>
    <row r="254">
      <c r="M254" s="57"/>
      <c r="N254" s="57"/>
      <c r="O254" s="57"/>
      <c r="P254" s="57"/>
    </row>
    <row r="255">
      <c r="M255" s="57"/>
      <c r="N255" s="57"/>
      <c r="O255" s="57"/>
      <c r="P255" s="57"/>
    </row>
    <row r="256">
      <c r="M256" s="57"/>
      <c r="N256" s="57"/>
      <c r="O256" s="57"/>
      <c r="P256" s="57"/>
    </row>
    <row r="257">
      <c r="M257" s="57"/>
      <c r="N257" s="57"/>
      <c r="O257" s="57"/>
      <c r="P257" s="57"/>
    </row>
    <row r="258">
      <c r="M258" s="57"/>
      <c r="N258" s="57"/>
      <c r="O258" s="57"/>
      <c r="P258" s="57"/>
    </row>
    <row r="259">
      <c r="M259" s="57"/>
      <c r="N259" s="57"/>
      <c r="O259" s="57"/>
      <c r="P259" s="57"/>
    </row>
    <row r="260">
      <c r="M260" s="57"/>
      <c r="N260" s="57"/>
      <c r="O260" s="57"/>
      <c r="P260" s="57"/>
    </row>
    <row r="261">
      <c r="M261" s="57"/>
      <c r="N261" s="57"/>
      <c r="O261" s="57"/>
      <c r="P261" s="57"/>
    </row>
    <row r="262">
      <c r="M262" s="57"/>
      <c r="N262" s="57"/>
      <c r="O262" s="57"/>
      <c r="P262" s="57"/>
    </row>
    <row r="263">
      <c r="M263" s="57"/>
      <c r="N263" s="57"/>
      <c r="O263" s="57"/>
      <c r="P263" s="57"/>
    </row>
    <row r="264">
      <c r="M264" s="57"/>
      <c r="N264" s="57"/>
      <c r="O264" s="57"/>
      <c r="P264" s="57"/>
    </row>
    <row r="265">
      <c r="M265" s="57"/>
      <c r="N265" s="57"/>
      <c r="O265" s="57"/>
      <c r="P265" s="57"/>
    </row>
    <row r="266">
      <c r="M266" s="57"/>
      <c r="N266" s="57"/>
      <c r="O266" s="57"/>
      <c r="P266" s="57"/>
    </row>
    <row r="267">
      <c r="M267" s="57"/>
      <c r="N267" s="57"/>
      <c r="O267" s="57"/>
      <c r="P267" s="57"/>
    </row>
    <row r="268">
      <c r="M268" s="57"/>
      <c r="N268" s="57"/>
      <c r="O268" s="57"/>
      <c r="P268" s="57"/>
    </row>
    <row r="269">
      <c r="M269" s="57"/>
      <c r="N269" s="57"/>
      <c r="O269" s="57"/>
      <c r="P269" s="57"/>
    </row>
    <row r="270">
      <c r="M270" s="57"/>
      <c r="N270" s="57"/>
      <c r="O270" s="57"/>
      <c r="P270" s="57"/>
    </row>
    <row r="271">
      <c r="M271" s="57"/>
      <c r="N271" s="57"/>
      <c r="O271" s="57"/>
      <c r="P271" s="57"/>
    </row>
    <row r="272">
      <c r="M272" s="57"/>
      <c r="N272" s="57"/>
      <c r="O272" s="57"/>
      <c r="P272" s="57"/>
    </row>
    <row r="273">
      <c r="M273" s="57"/>
      <c r="N273" s="57"/>
      <c r="O273" s="57"/>
      <c r="P273" s="57"/>
    </row>
    <row r="274">
      <c r="M274" s="57"/>
      <c r="N274" s="57"/>
      <c r="O274" s="57"/>
      <c r="P274" s="57"/>
    </row>
    <row r="275">
      <c r="M275" s="57"/>
      <c r="N275" s="57"/>
      <c r="O275" s="57"/>
      <c r="P275" s="57"/>
    </row>
    <row r="276">
      <c r="M276" s="57"/>
      <c r="N276" s="57"/>
      <c r="O276" s="57"/>
      <c r="P276" s="57"/>
    </row>
    <row r="277">
      <c r="M277" s="57"/>
      <c r="N277" s="57"/>
      <c r="O277" s="57"/>
      <c r="P277" s="57"/>
    </row>
    <row r="278">
      <c r="M278" s="57"/>
      <c r="N278" s="57"/>
      <c r="O278" s="57"/>
      <c r="P278" s="57"/>
    </row>
    <row r="279">
      <c r="M279" s="57"/>
      <c r="N279" s="57"/>
      <c r="O279" s="57"/>
      <c r="P279" s="57"/>
    </row>
    <row r="280">
      <c r="M280" s="57"/>
      <c r="N280" s="57"/>
      <c r="O280" s="57"/>
      <c r="P280" s="57"/>
    </row>
    <row r="281">
      <c r="M281" s="57"/>
      <c r="N281" s="57"/>
      <c r="O281" s="57"/>
      <c r="P281" s="57"/>
    </row>
    <row r="282">
      <c r="M282" s="57"/>
      <c r="N282" s="57"/>
      <c r="O282" s="57"/>
      <c r="P282" s="57"/>
    </row>
    <row r="283">
      <c r="M283" s="57"/>
      <c r="N283" s="57"/>
      <c r="O283" s="57"/>
      <c r="P283" s="57"/>
    </row>
    <row r="284">
      <c r="M284" s="57"/>
      <c r="N284" s="57"/>
      <c r="O284" s="57"/>
      <c r="P284" s="57"/>
    </row>
    <row r="285">
      <c r="M285" s="57"/>
      <c r="N285" s="57"/>
      <c r="O285" s="57"/>
      <c r="P285" s="57"/>
    </row>
    <row r="286">
      <c r="M286" s="57"/>
      <c r="N286" s="57"/>
      <c r="O286" s="57"/>
      <c r="P286" s="57"/>
    </row>
    <row r="287">
      <c r="M287" s="57"/>
      <c r="N287" s="57"/>
      <c r="O287" s="57"/>
      <c r="P287" s="57"/>
    </row>
    <row r="288">
      <c r="M288" s="57"/>
      <c r="N288" s="57"/>
      <c r="O288" s="57"/>
      <c r="P288" s="57"/>
    </row>
    <row r="289">
      <c r="M289" s="57"/>
      <c r="N289" s="57"/>
      <c r="O289" s="57"/>
      <c r="P289" s="57"/>
    </row>
    <row r="290">
      <c r="M290" s="57"/>
      <c r="N290" s="57"/>
      <c r="O290" s="57"/>
      <c r="P290" s="57"/>
    </row>
    <row r="291">
      <c r="M291" s="57"/>
      <c r="N291" s="57"/>
      <c r="O291" s="57"/>
      <c r="P291" s="57"/>
    </row>
    <row r="292">
      <c r="M292" s="57"/>
      <c r="N292" s="57"/>
      <c r="O292" s="57"/>
      <c r="P292" s="57"/>
    </row>
    <row r="293">
      <c r="M293" s="57"/>
      <c r="N293" s="57"/>
      <c r="O293" s="57"/>
      <c r="P293" s="57"/>
    </row>
    <row r="294">
      <c r="M294" s="57"/>
      <c r="N294" s="57"/>
      <c r="O294" s="57"/>
      <c r="P294" s="57"/>
    </row>
    <row r="295">
      <c r="M295" s="57"/>
      <c r="N295" s="57"/>
      <c r="O295" s="57"/>
      <c r="P295" s="57"/>
    </row>
    <row r="296">
      <c r="M296" s="57"/>
      <c r="N296" s="57"/>
      <c r="O296" s="57"/>
      <c r="P296" s="57"/>
    </row>
    <row r="297">
      <c r="M297" s="57"/>
      <c r="N297" s="57"/>
      <c r="O297" s="57"/>
      <c r="P297" s="57"/>
    </row>
    <row r="298">
      <c r="M298" s="57"/>
      <c r="N298" s="57"/>
      <c r="O298" s="57"/>
      <c r="P298" s="57"/>
    </row>
    <row r="299">
      <c r="M299" s="57"/>
      <c r="N299" s="57"/>
      <c r="O299" s="57"/>
      <c r="P299" s="57"/>
    </row>
    <row r="300">
      <c r="M300" s="57"/>
      <c r="N300" s="57"/>
      <c r="O300" s="57"/>
      <c r="P300" s="57"/>
    </row>
    <row r="301">
      <c r="M301" s="57"/>
      <c r="N301" s="57"/>
      <c r="O301" s="57"/>
      <c r="P301" s="57"/>
    </row>
    <row r="302">
      <c r="M302" s="57"/>
      <c r="N302" s="57"/>
      <c r="O302" s="57"/>
      <c r="P302" s="57"/>
    </row>
    <row r="303">
      <c r="M303" s="57"/>
      <c r="N303" s="57"/>
      <c r="O303" s="57"/>
      <c r="P303" s="57"/>
    </row>
    <row r="304">
      <c r="M304" s="57"/>
      <c r="N304" s="57"/>
      <c r="O304" s="57"/>
      <c r="P304" s="57"/>
    </row>
    <row r="305">
      <c r="M305" s="57"/>
      <c r="N305" s="57"/>
      <c r="O305" s="57"/>
      <c r="P305" s="57"/>
    </row>
    <row r="306">
      <c r="M306" s="57"/>
      <c r="N306" s="57"/>
      <c r="O306" s="57"/>
      <c r="P306" s="57"/>
    </row>
    <row r="307">
      <c r="M307" s="57"/>
      <c r="N307" s="57"/>
      <c r="O307" s="57"/>
      <c r="P307" s="57"/>
    </row>
    <row r="308">
      <c r="M308" s="57"/>
      <c r="N308" s="57"/>
      <c r="O308" s="57"/>
      <c r="P308" s="57"/>
    </row>
    <row r="309">
      <c r="M309" s="57"/>
      <c r="N309" s="57"/>
      <c r="O309" s="57"/>
      <c r="P309" s="57"/>
    </row>
    <row r="310">
      <c r="M310" s="57"/>
      <c r="N310" s="57"/>
      <c r="O310" s="57"/>
      <c r="P310" s="57"/>
    </row>
    <row r="311">
      <c r="M311" s="57"/>
      <c r="N311" s="57"/>
      <c r="O311" s="57"/>
      <c r="P311" s="57"/>
    </row>
    <row r="312">
      <c r="M312" s="57"/>
      <c r="N312" s="57"/>
      <c r="O312" s="57"/>
      <c r="P312" s="57"/>
    </row>
    <row r="313">
      <c r="M313" s="57"/>
      <c r="N313" s="57"/>
      <c r="O313" s="57"/>
      <c r="P313" s="57"/>
    </row>
    <row r="314">
      <c r="M314" s="57"/>
      <c r="N314" s="57"/>
      <c r="O314" s="57"/>
      <c r="P314" s="57"/>
    </row>
    <row r="315">
      <c r="M315" s="57"/>
      <c r="N315" s="57"/>
      <c r="O315" s="57"/>
      <c r="P315" s="57"/>
    </row>
    <row r="316">
      <c r="M316" s="57"/>
      <c r="N316" s="57"/>
      <c r="O316" s="57"/>
      <c r="P316" s="57"/>
    </row>
    <row r="317">
      <c r="M317" s="57"/>
      <c r="N317" s="57"/>
      <c r="O317" s="57"/>
      <c r="P317" s="57"/>
    </row>
    <row r="318">
      <c r="M318" s="57"/>
      <c r="N318" s="57"/>
      <c r="O318" s="57"/>
      <c r="P318" s="57"/>
    </row>
    <row r="319">
      <c r="M319" s="57"/>
      <c r="N319" s="57"/>
      <c r="O319" s="57"/>
      <c r="P319" s="57"/>
    </row>
    <row r="320">
      <c r="M320" s="57"/>
      <c r="N320" s="57"/>
      <c r="O320" s="57"/>
      <c r="P320" s="57"/>
    </row>
    <row r="321">
      <c r="M321" s="57"/>
      <c r="N321" s="57"/>
      <c r="O321" s="57"/>
      <c r="P321" s="57"/>
    </row>
    <row r="322">
      <c r="M322" s="57"/>
      <c r="N322" s="57"/>
      <c r="O322" s="57"/>
      <c r="P322" s="57"/>
    </row>
    <row r="323">
      <c r="M323" s="57"/>
      <c r="N323" s="57"/>
      <c r="O323" s="57"/>
      <c r="P323" s="57"/>
    </row>
    <row r="324">
      <c r="M324" s="57"/>
      <c r="N324" s="57"/>
      <c r="O324" s="57"/>
      <c r="P324" s="57"/>
    </row>
    <row r="325">
      <c r="M325" s="57"/>
      <c r="N325" s="57"/>
      <c r="O325" s="57"/>
      <c r="P325" s="57"/>
    </row>
    <row r="326">
      <c r="M326" s="57"/>
      <c r="N326" s="57"/>
      <c r="O326" s="57"/>
      <c r="P326" s="57"/>
    </row>
    <row r="327">
      <c r="M327" s="57"/>
      <c r="N327" s="57"/>
      <c r="O327" s="57"/>
      <c r="P327" s="57"/>
    </row>
    <row r="328">
      <c r="M328" s="57"/>
      <c r="N328" s="57"/>
      <c r="O328" s="57"/>
      <c r="P328" s="57"/>
    </row>
    <row r="329">
      <c r="M329" s="57"/>
      <c r="N329" s="57"/>
      <c r="O329" s="57"/>
      <c r="P329" s="57"/>
    </row>
    <row r="330">
      <c r="M330" s="57"/>
      <c r="N330" s="57"/>
      <c r="O330" s="57"/>
      <c r="P330" s="57"/>
    </row>
    <row r="331">
      <c r="M331" s="57"/>
      <c r="N331" s="57"/>
      <c r="O331" s="57"/>
      <c r="P331" s="57"/>
    </row>
    <row r="332">
      <c r="M332" s="57"/>
      <c r="N332" s="57"/>
      <c r="O332" s="57"/>
      <c r="P332" s="57"/>
    </row>
    <row r="333">
      <c r="M333" s="57"/>
      <c r="N333" s="57"/>
      <c r="O333" s="57"/>
      <c r="P333" s="57"/>
    </row>
    <row r="334">
      <c r="M334" s="57"/>
      <c r="N334" s="57"/>
      <c r="O334" s="57"/>
      <c r="P334" s="57"/>
    </row>
    <row r="335">
      <c r="M335" s="57"/>
      <c r="N335" s="57"/>
      <c r="O335" s="57"/>
      <c r="P335" s="57"/>
    </row>
    <row r="336">
      <c r="M336" s="57"/>
      <c r="N336" s="57"/>
      <c r="O336" s="57"/>
      <c r="P336" s="57"/>
    </row>
    <row r="337">
      <c r="M337" s="57"/>
      <c r="N337" s="57"/>
      <c r="O337" s="57"/>
      <c r="P337" s="57"/>
    </row>
    <row r="338">
      <c r="M338" s="57"/>
      <c r="N338" s="57"/>
      <c r="O338" s="57"/>
      <c r="P338" s="57"/>
    </row>
    <row r="339">
      <c r="M339" s="57"/>
      <c r="N339" s="57"/>
      <c r="O339" s="57"/>
      <c r="P339" s="57"/>
    </row>
    <row r="340">
      <c r="M340" s="57"/>
      <c r="N340" s="57"/>
      <c r="O340" s="57"/>
      <c r="P340" s="57"/>
    </row>
    <row r="341">
      <c r="M341" s="57"/>
      <c r="N341" s="57"/>
      <c r="O341" s="57"/>
      <c r="P341" s="57"/>
    </row>
    <row r="342">
      <c r="M342" s="57"/>
      <c r="N342" s="57"/>
      <c r="O342" s="57"/>
      <c r="P342" s="57"/>
    </row>
    <row r="343">
      <c r="M343" s="57"/>
      <c r="N343" s="57"/>
      <c r="O343" s="57"/>
      <c r="P343" s="57"/>
    </row>
    <row r="344">
      <c r="M344" s="57"/>
      <c r="N344" s="57"/>
      <c r="O344" s="57"/>
      <c r="P344" s="57"/>
    </row>
    <row r="345">
      <c r="M345" s="57"/>
      <c r="N345" s="57"/>
      <c r="O345" s="57"/>
      <c r="P345" s="57"/>
    </row>
    <row r="346">
      <c r="M346" s="57"/>
      <c r="N346" s="57"/>
      <c r="O346" s="57"/>
      <c r="P346" s="57"/>
    </row>
    <row r="347">
      <c r="M347" s="57"/>
      <c r="N347" s="57"/>
      <c r="O347" s="57"/>
      <c r="P347" s="57"/>
    </row>
    <row r="348">
      <c r="M348" s="57"/>
      <c r="N348" s="57"/>
      <c r="O348" s="57"/>
      <c r="P348" s="57"/>
    </row>
    <row r="349">
      <c r="M349" s="57"/>
      <c r="N349" s="57"/>
      <c r="O349" s="57"/>
      <c r="P349" s="57"/>
    </row>
    <row r="350">
      <c r="M350" s="57"/>
      <c r="N350" s="57"/>
      <c r="O350" s="57"/>
      <c r="P350" s="57"/>
    </row>
    <row r="351">
      <c r="M351" s="57"/>
      <c r="N351" s="57"/>
      <c r="O351" s="57"/>
      <c r="P351" s="57"/>
    </row>
    <row r="352">
      <c r="M352" s="57"/>
      <c r="N352" s="57"/>
      <c r="O352" s="57"/>
      <c r="P352" s="57"/>
    </row>
    <row r="353">
      <c r="M353" s="57"/>
      <c r="N353" s="57"/>
      <c r="O353" s="57"/>
      <c r="P353" s="57"/>
    </row>
    <row r="354">
      <c r="M354" s="57"/>
      <c r="N354" s="57"/>
      <c r="O354" s="57"/>
      <c r="P354" s="57"/>
    </row>
    <row r="355">
      <c r="M355" s="57"/>
      <c r="N355" s="57"/>
      <c r="O355" s="57"/>
      <c r="P355" s="57"/>
    </row>
    <row r="356">
      <c r="M356" s="57"/>
      <c r="N356" s="57"/>
      <c r="O356" s="57"/>
      <c r="P356" s="57"/>
    </row>
    <row r="357">
      <c r="M357" s="57"/>
      <c r="N357" s="57"/>
      <c r="O357" s="57"/>
      <c r="P357" s="57"/>
    </row>
    <row r="358">
      <c r="M358" s="57"/>
      <c r="N358" s="57"/>
      <c r="O358" s="57"/>
      <c r="P358" s="57"/>
    </row>
    <row r="359">
      <c r="M359" s="57"/>
      <c r="N359" s="57"/>
      <c r="O359" s="57"/>
      <c r="P359" s="57"/>
    </row>
    <row r="360">
      <c r="M360" s="57"/>
      <c r="N360" s="57"/>
      <c r="O360" s="57"/>
      <c r="P360" s="57"/>
    </row>
    <row r="361">
      <c r="M361" s="57"/>
      <c r="N361" s="57"/>
      <c r="O361" s="57"/>
      <c r="P361" s="57"/>
    </row>
    <row r="362">
      <c r="M362" s="57"/>
      <c r="N362" s="57"/>
      <c r="O362" s="57"/>
      <c r="P362" s="57"/>
    </row>
    <row r="363">
      <c r="M363" s="57"/>
      <c r="N363" s="57"/>
      <c r="O363" s="57"/>
      <c r="P363" s="57"/>
    </row>
    <row r="364">
      <c r="M364" s="57"/>
      <c r="N364" s="57"/>
      <c r="O364" s="57"/>
      <c r="P364" s="57"/>
    </row>
    <row r="365">
      <c r="M365" s="57"/>
      <c r="N365" s="57"/>
      <c r="O365" s="57"/>
      <c r="P365" s="57"/>
    </row>
    <row r="366">
      <c r="M366" s="57"/>
      <c r="N366" s="57"/>
      <c r="O366" s="57"/>
      <c r="P366" s="57"/>
    </row>
    <row r="367">
      <c r="M367" s="57"/>
      <c r="N367" s="57"/>
      <c r="O367" s="57"/>
      <c r="P367" s="57"/>
    </row>
    <row r="368">
      <c r="M368" s="57"/>
      <c r="N368" s="57"/>
      <c r="O368" s="57"/>
      <c r="P368" s="57"/>
    </row>
    <row r="369">
      <c r="M369" s="57"/>
      <c r="N369" s="57"/>
      <c r="O369" s="57"/>
      <c r="P369" s="57"/>
    </row>
    <row r="370">
      <c r="M370" s="57"/>
      <c r="N370" s="57"/>
      <c r="O370" s="57"/>
      <c r="P370" s="57"/>
    </row>
    <row r="371">
      <c r="M371" s="57"/>
      <c r="N371" s="57"/>
      <c r="O371" s="57"/>
      <c r="P371" s="57"/>
    </row>
    <row r="372">
      <c r="M372" s="57"/>
      <c r="N372" s="57"/>
      <c r="O372" s="57"/>
      <c r="P372" s="57"/>
    </row>
    <row r="373">
      <c r="M373" s="57"/>
      <c r="N373" s="57"/>
      <c r="O373" s="57"/>
      <c r="P373" s="57"/>
    </row>
    <row r="374">
      <c r="M374" s="57"/>
      <c r="N374" s="57"/>
      <c r="O374" s="57"/>
      <c r="P374" s="57"/>
    </row>
    <row r="375">
      <c r="M375" s="57"/>
      <c r="N375" s="57"/>
      <c r="O375" s="57"/>
      <c r="P375" s="57"/>
    </row>
    <row r="376">
      <c r="M376" s="57"/>
      <c r="N376" s="57"/>
      <c r="O376" s="57"/>
      <c r="P376" s="57"/>
    </row>
    <row r="377">
      <c r="M377" s="57"/>
      <c r="N377" s="57"/>
      <c r="O377" s="57"/>
      <c r="P377" s="57"/>
    </row>
    <row r="378">
      <c r="M378" s="57"/>
      <c r="N378" s="57"/>
      <c r="O378" s="57"/>
      <c r="P378" s="57"/>
    </row>
    <row r="379">
      <c r="M379" s="57"/>
      <c r="N379" s="57"/>
      <c r="O379" s="57"/>
      <c r="P379" s="57"/>
    </row>
    <row r="380">
      <c r="M380" s="57"/>
      <c r="N380" s="57"/>
      <c r="O380" s="57"/>
      <c r="P380" s="57"/>
    </row>
    <row r="381">
      <c r="M381" s="57"/>
      <c r="N381" s="57"/>
      <c r="O381" s="57"/>
      <c r="P381" s="57"/>
    </row>
    <row r="382">
      <c r="M382" s="57"/>
      <c r="N382" s="57"/>
      <c r="O382" s="57"/>
      <c r="P382" s="57"/>
    </row>
    <row r="383">
      <c r="M383" s="57"/>
      <c r="N383" s="57"/>
      <c r="O383" s="57"/>
      <c r="P383" s="57"/>
    </row>
    <row r="384">
      <c r="M384" s="57"/>
      <c r="N384" s="57"/>
      <c r="O384" s="57"/>
      <c r="P384" s="57"/>
    </row>
    <row r="385">
      <c r="M385" s="57"/>
      <c r="N385" s="57"/>
      <c r="O385" s="57"/>
      <c r="P385" s="57"/>
    </row>
    <row r="386">
      <c r="M386" s="57"/>
      <c r="N386" s="57"/>
      <c r="O386" s="57"/>
      <c r="P386" s="57"/>
    </row>
    <row r="387">
      <c r="M387" s="57"/>
      <c r="N387" s="57"/>
      <c r="O387" s="57"/>
      <c r="P387" s="57"/>
    </row>
    <row r="388">
      <c r="M388" s="57"/>
      <c r="N388" s="57"/>
      <c r="O388" s="57"/>
      <c r="P388" s="57"/>
    </row>
    <row r="389">
      <c r="M389" s="57"/>
      <c r="N389" s="57"/>
      <c r="O389" s="57"/>
      <c r="P389" s="57"/>
    </row>
    <row r="390">
      <c r="M390" s="57"/>
      <c r="N390" s="57"/>
      <c r="O390" s="57"/>
      <c r="P390" s="57"/>
    </row>
    <row r="391">
      <c r="M391" s="57"/>
      <c r="N391" s="57"/>
      <c r="O391" s="57"/>
      <c r="P391" s="57"/>
    </row>
    <row r="392">
      <c r="M392" s="57"/>
      <c r="N392" s="57"/>
      <c r="O392" s="57"/>
      <c r="P392" s="57"/>
    </row>
    <row r="393">
      <c r="M393" s="57"/>
      <c r="N393" s="57"/>
      <c r="O393" s="57"/>
      <c r="P393" s="57"/>
    </row>
    <row r="394">
      <c r="M394" s="57"/>
      <c r="N394" s="57"/>
      <c r="O394" s="57"/>
      <c r="P394" s="57"/>
    </row>
    <row r="395">
      <c r="M395" s="57"/>
      <c r="N395" s="57"/>
      <c r="O395" s="57"/>
      <c r="P395" s="57"/>
    </row>
    <row r="396">
      <c r="M396" s="57"/>
      <c r="N396" s="57"/>
      <c r="O396" s="57"/>
      <c r="P396" s="57"/>
    </row>
    <row r="397">
      <c r="M397" s="57"/>
      <c r="N397" s="57"/>
      <c r="O397" s="57"/>
      <c r="P397" s="57"/>
    </row>
    <row r="398">
      <c r="M398" s="57"/>
      <c r="N398" s="57"/>
      <c r="O398" s="57"/>
      <c r="P398" s="57"/>
    </row>
    <row r="399">
      <c r="M399" s="57"/>
      <c r="N399" s="57"/>
      <c r="O399" s="57"/>
      <c r="P399" s="57"/>
    </row>
    <row r="400">
      <c r="M400" s="57"/>
      <c r="N400" s="57"/>
      <c r="O400" s="57"/>
      <c r="P400" s="57"/>
    </row>
    <row r="401">
      <c r="M401" s="57"/>
      <c r="N401" s="57"/>
      <c r="O401" s="57"/>
      <c r="P401" s="57"/>
    </row>
    <row r="402">
      <c r="M402" s="57"/>
      <c r="N402" s="57"/>
      <c r="O402" s="57"/>
      <c r="P402" s="57"/>
    </row>
    <row r="403">
      <c r="M403" s="57"/>
      <c r="N403" s="57"/>
      <c r="O403" s="57"/>
      <c r="P403" s="57"/>
    </row>
    <row r="404">
      <c r="M404" s="57"/>
      <c r="N404" s="57"/>
      <c r="O404" s="57"/>
      <c r="P404" s="57"/>
    </row>
    <row r="405">
      <c r="M405" s="57"/>
      <c r="N405" s="57"/>
      <c r="O405" s="57"/>
      <c r="P405" s="57"/>
    </row>
    <row r="406">
      <c r="M406" s="57"/>
      <c r="N406" s="57"/>
      <c r="O406" s="57"/>
      <c r="P406" s="57"/>
    </row>
    <row r="407">
      <c r="M407" s="57"/>
      <c r="N407" s="57"/>
      <c r="O407" s="57"/>
      <c r="P407" s="57"/>
    </row>
    <row r="408">
      <c r="M408" s="57"/>
      <c r="N408" s="57"/>
      <c r="O408" s="57"/>
      <c r="P408" s="57"/>
    </row>
    <row r="409">
      <c r="M409" s="57"/>
      <c r="N409" s="57"/>
      <c r="O409" s="57"/>
      <c r="P409" s="57"/>
    </row>
    <row r="410">
      <c r="M410" s="57"/>
      <c r="N410" s="57"/>
      <c r="O410" s="57"/>
      <c r="P410" s="57"/>
    </row>
    <row r="411">
      <c r="M411" s="57"/>
      <c r="N411" s="57"/>
      <c r="O411" s="57"/>
      <c r="P411" s="57"/>
    </row>
    <row r="412">
      <c r="M412" s="57"/>
      <c r="N412" s="57"/>
      <c r="O412" s="57"/>
      <c r="P412" s="57"/>
    </row>
    <row r="413">
      <c r="M413" s="57"/>
      <c r="N413" s="57"/>
      <c r="O413" s="57"/>
      <c r="P413" s="57"/>
    </row>
    <row r="414">
      <c r="M414" s="57"/>
      <c r="N414" s="57"/>
      <c r="O414" s="57"/>
      <c r="P414" s="57"/>
    </row>
    <row r="415">
      <c r="M415" s="57"/>
      <c r="N415" s="57"/>
      <c r="O415" s="57"/>
      <c r="P415" s="57"/>
    </row>
    <row r="416">
      <c r="M416" s="57"/>
      <c r="N416" s="57"/>
      <c r="O416" s="57"/>
      <c r="P416" s="57"/>
    </row>
    <row r="417">
      <c r="M417" s="57"/>
      <c r="N417" s="57"/>
      <c r="O417" s="57"/>
      <c r="P417" s="57"/>
    </row>
    <row r="418">
      <c r="M418" s="57"/>
      <c r="N418" s="57"/>
      <c r="O418" s="57"/>
      <c r="P418" s="57"/>
    </row>
    <row r="419">
      <c r="M419" s="57"/>
      <c r="N419" s="57"/>
      <c r="O419" s="57"/>
      <c r="P419" s="57"/>
    </row>
    <row r="420">
      <c r="M420" s="57"/>
      <c r="N420" s="57"/>
      <c r="O420" s="57"/>
      <c r="P420" s="57"/>
    </row>
    <row r="421">
      <c r="M421" s="57"/>
      <c r="N421" s="57"/>
      <c r="O421" s="57"/>
      <c r="P421" s="57"/>
    </row>
    <row r="422">
      <c r="M422" s="57"/>
      <c r="N422" s="57"/>
      <c r="O422" s="57"/>
      <c r="P422" s="57"/>
    </row>
    <row r="423">
      <c r="M423" s="57"/>
      <c r="N423" s="57"/>
      <c r="O423" s="57"/>
      <c r="P423" s="57"/>
    </row>
    <row r="424">
      <c r="M424" s="57"/>
      <c r="N424" s="57"/>
      <c r="O424" s="57"/>
      <c r="P424" s="57"/>
    </row>
    <row r="425">
      <c r="M425" s="57"/>
      <c r="N425" s="57"/>
      <c r="O425" s="57"/>
      <c r="P425" s="57"/>
    </row>
    <row r="426">
      <c r="M426" s="57"/>
      <c r="N426" s="57"/>
      <c r="O426" s="57"/>
      <c r="P426" s="57"/>
    </row>
    <row r="427">
      <c r="M427" s="57"/>
      <c r="N427" s="57"/>
      <c r="O427" s="57"/>
      <c r="P427" s="57"/>
    </row>
    <row r="428">
      <c r="M428" s="57"/>
      <c r="N428" s="57"/>
      <c r="O428" s="57"/>
      <c r="P428" s="57"/>
    </row>
    <row r="429">
      <c r="M429" s="57"/>
      <c r="N429" s="57"/>
      <c r="O429" s="57"/>
      <c r="P429" s="57"/>
    </row>
    <row r="430">
      <c r="M430" s="57"/>
      <c r="N430" s="57"/>
      <c r="O430" s="57"/>
      <c r="P430" s="57"/>
    </row>
    <row r="431">
      <c r="M431" s="57"/>
      <c r="N431" s="57"/>
      <c r="O431" s="57"/>
      <c r="P431" s="57"/>
    </row>
    <row r="432">
      <c r="M432" s="57"/>
      <c r="N432" s="57"/>
      <c r="O432" s="57"/>
      <c r="P432" s="57"/>
    </row>
    <row r="433">
      <c r="M433" s="57"/>
      <c r="N433" s="57"/>
      <c r="O433" s="57"/>
      <c r="P433" s="57"/>
    </row>
    <row r="434">
      <c r="M434" s="57"/>
      <c r="N434" s="57"/>
      <c r="O434" s="57"/>
      <c r="P434" s="57"/>
    </row>
    <row r="435">
      <c r="M435" s="57"/>
      <c r="N435" s="57"/>
      <c r="O435" s="57"/>
      <c r="P435" s="57"/>
    </row>
    <row r="436">
      <c r="M436" s="57"/>
      <c r="N436" s="57"/>
      <c r="O436" s="57"/>
      <c r="P436" s="57"/>
    </row>
    <row r="437">
      <c r="M437" s="57"/>
      <c r="N437" s="57"/>
      <c r="O437" s="57"/>
      <c r="P437" s="57"/>
    </row>
    <row r="438">
      <c r="M438" s="57"/>
      <c r="N438" s="57"/>
      <c r="O438" s="57"/>
      <c r="P438" s="57"/>
    </row>
    <row r="439">
      <c r="M439" s="57"/>
      <c r="N439" s="57"/>
      <c r="O439" s="57"/>
      <c r="P439" s="57"/>
    </row>
    <row r="440">
      <c r="M440" s="57"/>
      <c r="N440" s="57"/>
      <c r="O440" s="57"/>
      <c r="P440" s="57"/>
    </row>
    <row r="441">
      <c r="M441" s="57"/>
      <c r="N441" s="57"/>
      <c r="O441" s="57"/>
      <c r="P441" s="57"/>
    </row>
    <row r="442">
      <c r="M442" s="57"/>
      <c r="N442" s="57"/>
      <c r="O442" s="57"/>
      <c r="P442" s="57"/>
    </row>
    <row r="443">
      <c r="M443" s="57"/>
      <c r="N443" s="57"/>
      <c r="O443" s="57"/>
      <c r="P443" s="57"/>
    </row>
    <row r="444">
      <c r="M444" s="57"/>
      <c r="N444" s="57"/>
      <c r="O444" s="57"/>
      <c r="P444" s="57"/>
    </row>
    <row r="445">
      <c r="M445" s="57"/>
      <c r="N445" s="57"/>
      <c r="O445" s="57"/>
      <c r="P445" s="57"/>
    </row>
    <row r="446">
      <c r="M446" s="57"/>
      <c r="N446" s="57"/>
      <c r="O446" s="57"/>
      <c r="P446" s="57"/>
    </row>
    <row r="447">
      <c r="M447" s="57"/>
      <c r="N447" s="57"/>
      <c r="O447" s="57"/>
      <c r="P447" s="57"/>
    </row>
    <row r="448">
      <c r="M448" s="57"/>
      <c r="N448" s="57"/>
      <c r="O448" s="57"/>
      <c r="P448" s="57"/>
    </row>
    <row r="449">
      <c r="M449" s="57"/>
      <c r="N449" s="57"/>
      <c r="O449" s="57"/>
      <c r="P449" s="57"/>
    </row>
    <row r="450">
      <c r="M450" s="57"/>
      <c r="N450" s="57"/>
      <c r="O450" s="57"/>
      <c r="P450" s="57"/>
    </row>
    <row r="451">
      <c r="M451" s="57"/>
      <c r="N451" s="57"/>
      <c r="O451" s="57"/>
      <c r="P451" s="57"/>
    </row>
    <row r="452">
      <c r="M452" s="57"/>
      <c r="N452" s="57"/>
      <c r="O452" s="57"/>
      <c r="P452" s="57"/>
    </row>
    <row r="453">
      <c r="M453" s="57"/>
      <c r="N453" s="57"/>
      <c r="O453" s="57"/>
      <c r="P453" s="57"/>
    </row>
    <row r="454">
      <c r="M454" s="57"/>
      <c r="N454" s="57"/>
      <c r="O454" s="57"/>
      <c r="P454" s="57"/>
    </row>
    <row r="455">
      <c r="M455" s="57"/>
      <c r="N455" s="57"/>
      <c r="O455" s="57"/>
      <c r="P455" s="57"/>
    </row>
    <row r="456">
      <c r="M456" s="57"/>
      <c r="N456" s="57"/>
      <c r="O456" s="57"/>
      <c r="P456" s="57"/>
    </row>
    <row r="457">
      <c r="M457" s="57"/>
      <c r="N457" s="57"/>
      <c r="O457" s="57"/>
      <c r="P457" s="57"/>
    </row>
    <row r="458">
      <c r="M458" s="57"/>
      <c r="N458" s="57"/>
      <c r="O458" s="57"/>
      <c r="P458" s="57"/>
    </row>
    <row r="459">
      <c r="M459" s="57"/>
      <c r="N459" s="57"/>
      <c r="O459" s="57"/>
      <c r="P459" s="57"/>
    </row>
    <row r="460">
      <c r="M460" s="57"/>
      <c r="N460" s="57"/>
      <c r="O460" s="57"/>
      <c r="P460" s="57"/>
    </row>
    <row r="461">
      <c r="M461" s="57"/>
      <c r="N461" s="57"/>
      <c r="O461" s="57"/>
      <c r="P461" s="57"/>
    </row>
    <row r="462">
      <c r="M462" s="57"/>
      <c r="N462" s="57"/>
      <c r="O462" s="57"/>
      <c r="P462" s="57"/>
    </row>
    <row r="463">
      <c r="M463" s="57"/>
      <c r="N463" s="57"/>
      <c r="O463" s="57"/>
      <c r="P463" s="57"/>
    </row>
    <row r="464">
      <c r="M464" s="57"/>
      <c r="N464" s="57"/>
      <c r="O464" s="57"/>
      <c r="P464" s="57"/>
    </row>
    <row r="465">
      <c r="M465" s="57"/>
      <c r="N465" s="57"/>
      <c r="O465" s="57"/>
      <c r="P465" s="57"/>
    </row>
    <row r="466">
      <c r="M466" s="57"/>
      <c r="N466" s="57"/>
      <c r="O466" s="57"/>
      <c r="P466" s="57"/>
    </row>
    <row r="467">
      <c r="M467" s="57"/>
      <c r="N467" s="57"/>
      <c r="O467" s="57"/>
      <c r="P467" s="57"/>
    </row>
    <row r="468">
      <c r="M468" s="57"/>
      <c r="N468" s="57"/>
      <c r="O468" s="57"/>
      <c r="P468" s="57"/>
    </row>
    <row r="469">
      <c r="M469" s="57"/>
      <c r="N469" s="57"/>
      <c r="O469" s="57"/>
      <c r="P469" s="57"/>
    </row>
    <row r="470">
      <c r="M470" s="57"/>
      <c r="N470" s="57"/>
      <c r="O470" s="57"/>
      <c r="P470" s="57"/>
    </row>
    <row r="471">
      <c r="M471" s="57"/>
      <c r="N471" s="57"/>
      <c r="O471" s="57"/>
      <c r="P471" s="57"/>
    </row>
    <row r="472">
      <c r="M472" s="57"/>
      <c r="N472" s="57"/>
      <c r="O472" s="57"/>
      <c r="P472" s="57"/>
    </row>
    <row r="473">
      <c r="M473" s="57"/>
      <c r="N473" s="57"/>
      <c r="O473" s="57"/>
      <c r="P473" s="57"/>
    </row>
    <row r="474">
      <c r="M474" s="57"/>
      <c r="N474" s="57"/>
      <c r="O474" s="57"/>
      <c r="P474" s="57"/>
    </row>
    <row r="475">
      <c r="M475" s="57"/>
      <c r="N475" s="57"/>
      <c r="O475" s="57"/>
      <c r="P475" s="57"/>
    </row>
    <row r="476">
      <c r="M476" s="57"/>
      <c r="N476" s="57"/>
      <c r="O476" s="57"/>
      <c r="P476" s="57"/>
    </row>
    <row r="477">
      <c r="M477" s="57"/>
      <c r="N477" s="57"/>
      <c r="O477" s="57"/>
      <c r="P477" s="57"/>
    </row>
    <row r="478">
      <c r="M478" s="57"/>
      <c r="N478" s="57"/>
      <c r="O478" s="57"/>
      <c r="P478" s="57"/>
    </row>
    <row r="479">
      <c r="M479" s="57"/>
      <c r="N479" s="57"/>
      <c r="O479" s="57"/>
      <c r="P479" s="57"/>
    </row>
    <row r="480">
      <c r="M480" s="57"/>
      <c r="N480" s="57"/>
      <c r="O480" s="57"/>
      <c r="P480" s="57"/>
    </row>
    <row r="481">
      <c r="M481" s="57"/>
      <c r="N481" s="57"/>
      <c r="O481" s="57"/>
      <c r="P481" s="57"/>
    </row>
    <row r="482">
      <c r="M482" s="57"/>
      <c r="N482" s="57"/>
      <c r="O482" s="57"/>
      <c r="P482" s="57"/>
    </row>
    <row r="483">
      <c r="M483" s="57"/>
      <c r="N483" s="57"/>
      <c r="O483" s="57"/>
      <c r="P483" s="57"/>
    </row>
    <row r="484">
      <c r="M484" s="57"/>
      <c r="N484" s="57"/>
      <c r="O484" s="57"/>
      <c r="P484" s="57"/>
    </row>
    <row r="485">
      <c r="M485" s="57"/>
      <c r="N485" s="57"/>
      <c r="O485" s="57"/>
      <c r="P485" s="57"/>
    </row>
    <row r="486">
      <c r="M486" s="57"/>
      <c r="N486" s="57"/>
      <c r="O486" s="57"/>
      <c r="P486" s="57"/>
    </row>
    <row r="487">
      <c r="M487" s="57"/>
      <c r="N487" s="57"/>
      <c r="O487" s="57"/>
      <c r="P487" s="57"/>
    </row>
    <row r="488">
      <c r="M488" s="57"/>
      <c r="N488" s="57"/>
      <c r="O488" s="57"/>
      <c r="P488" s="57"/>
    </row>
    <row r="489">
      <c r="M489" s="57"/>
      <c r="N489" s="57"/>
      <c r="O489" s="57"/>
      <c r="P489" s="57"/>
    </row>
    <row r="490">
      <c r="M490" s="57"/>
      <c r="N490" s="57"/>
      <c r="O490" s="57"/>
      <c r="P490" s="57"/>
    </row>
    <row r="491">
      <c r="M491" s="57"/>
      <c r="N491" s="57"/>
      <c r="O491" s="57"/>
      <c r="P491" s="57"/>
    </row>
    <row r="492">
      <c r="M492" s="57"/>
      <c r="N492" s="57"/>
      <c r="O492" s="57"/>
      <c r="P492" s="57"/>
    </row>
    <row r="493">
      <c r="M493" s="57"/>
      <c r="N493" s="57"/>
      <c r="O493" s="57"/>
      <c r="P493" s="57"/>
    </row>
    <row r="494">
      <c r="M494" s="57"/>
      <c r="N494" s="57"/>
      <c r="O494" s="57"/>
      <c r="P494" s="57"/>
    </row>
    <row r="495">
      <c r="M495" s="57"/>
      <c r="N495" s="57"/>
      <c r="O495" s="57"/>
      <c r="P495" s="57"/>
    </row>
    <row r="496">
      <c r="M496" s="57"/>
      <c r="N496" s="57"/>
      <c r="O496" s="57"/>
      <c r="P496" s="57"/>
    </row>
    <row r="497">
      <c r="M497" s="57"/>
      <c r="N497" s="57"/>
      <c r="O497" s="57"/>
      <c r="P497" s="57"/>
    </row>
    <row r="498">
      <c r="M498" s="57"/>
      <c r="N498" s="57"/>
      <c r="O498" s="57"/>
      <c r="P498" s="57"/>
    </row>
    <row r="499">
      <c r="M499" s="57"/>
      <c r="N499" s="57"/>
      <c r="O499" s="57"/>
      <c r="P499" s="57"/>
    </row>
    <row r="500">
      <c r="M500" s="57"/>
      <c r="N500" s="57"/>
      <c r="O500" s="57"/>
      <c r="P500" s="57"/>
    </row>
    <row r="501">
      <c r="M501" s="57"/>
      <c r="N501" s="57"/>
      <c r="O501" s="57"/>
      <c r="P501" s="57"/>
    </row>
    <row r="502">
      <c r="M502" s="57"/>
      <c r="N502" s="57"/>
      <c r="O502" s="57"/>
      <c r="P502" s="57"/>
    </row>
    <row r="503">
      <c r="M503" s="57"/>
      <c r="N503" s="57"/>
      <c r="O503" s="57"/>
      <c r="P503" s="57"/>
    </row>
    <row r="504">
      <c r="M504" s="57"/>
      <c r="N504" s="57"/>
      <c r="O504" s="57"/>
      <c r="P504" s="57"/>
    </row>
    <row r="505">
      <c r="M505" s="57"/>
      <c r="N505" s="57"/>
      <c r="O505" s="57"/>
      <c r="P505" s="57"/>
    </row>
    <row r="506">
      <c r="M506" s="57"/>
      <c r="N506" s="57"/>
      <c r="O506" s="57"/>
      <c r="P506" s="57"/>
    </row>
    <row r="507">
      <c r="M507" s="57"/>
      <c r="N507" s="57"/>
      <c r="O507" s="57"/>
      <c r="P507" s="57"/>
    </row>
    <row r="508">
      <c r="M508" s="57"/>
      <c r="N508" s="57"/>
      <c r="O508" s="57"/>
      <c r="P508" s="57"/>
    </row>
    <row r="509">
      <c r="M509" s="57"/>
      <c r="N509" s="57"/>
      <c r="O509" s="57"/>
      <c r="P509" s="57"/>
    </row>
    <row r="510">
      <c r="M510" s="57"/>
      <c r="N510" s="57"/>
      <c r="O510" s="57"/>
      <c r="P510" s="57"/>
    </row>
    <row r="511">
      <c r="M511" s="57"/>
      <c r="N511" s="57"/>
      <c r="O511" s="57"/>
      <c r="P511" s="57"/>
    </row>
    <row r="512">
      <c r="M512" s="57"/>
      <c r="N512" s="57"/>
      <c r="O512" s="57"/>
      <c r="P512" s="57"/>
    </row>
    <row r="513">
      <c r="M513" s="57"/>
      <c r="N513" s="57"/>
      <c r="O513" s="57"/>
      <c r="P513" s="57"/>
    </row>
    <row r="514">
      <c r="M514" s="57"/>
      <c r="N514" s="57"/>
      <c r="O514" s="57"/>
      <c r="P514" s="57"/>
    </row>
    <row r="515">
      <c r="M515" s="57"/>
      <c r="N515" s="57"/>
      <c r="O515" s="57"/>
      <c r="P515" s="57"/>
    </row>
    <row r="516">
      <c r="M516" s="57"/>
      <c r="N516" s="57"/>
      <c r="O516" s="57"/>
      <c r="P516" s="57"/>
    </row>
    <row r="517">
      <c r="M517" s="57"/>
      <c r="N517" s="57"/>
      <c r="O517" s="57"/>
      <c r="P517" s="57"/>
    </row>
    <row r="518">
      <c r="M518" s="57"/>
      <c r="N518" s="57"/>
      <c r="O518" s="57"/>
      <c r="P518" s="57"/>
    </row>
    <row r="519">
      <c r="M519" s="57"/>
      <c r="N519" s="57"/>
      <c r="O519" s="57"/>
      <c r="P519" s="57"/>
    </row>
    <row r="520">
      <c r="M520" s="57"/>
      <c r="N520" s="57"/>
      <c r="O520" s="57"/>
      <c r="P520" s="57"/>
    </row>
    <row r="521">
      <c r="M521" s="57"/>
      <c r="N521" s="57"/>
      <c r="O521" s="57"/>
      <c r="P521" s="57"/>
    </row>
    <row r="522">
      <c r="M522" s="57"/>
      <c r="N522" s="57"/>
      <c r="O522" s="57"/>
      <c r="P522" s="57"/>
    </row>
    <row r="523">
      <c r="M523" s="57"/>
      <c r="N523" s="57"/>
      <c r="O523" s="57"/>
      <c r="P523" s="57"/>
    </row>
    <row r="524">
      <c r="M524" s="57"/>
      <c r="N524" s="57"/>
      <c r="O524" s="57"/>
      <c r="P524" s="57"/>
    </row>
    <row r="525">
      <c r="M525" s="57"/>
      <c r="N525" s="57"/>
      <c r="O525" s="57"/>
      <c r="P525" s="57"/>
    </row>
    <row r="526">
      <c r="M526" s="57"/>
      <c r="N526" s="57"/>
      <c r="O526" s="57"/>
      <c r="P526" s="57"/>
    </row>
    <row r="527">
      <c r="M527" s="57"/>
      <c r="N527" s="57"/>
      <c r="O527" s="57"/>
      <c r="P527" s="57"/>
    </row>
    <row r="528">
      <c r="M528" s="57"/>
      <c r="N528" s="57"/>
      <c r="O528" s="57"/>
      <c r="P528" s="57"/>
    </row>
    <row r="529">
      <c r="M529" s="57"/>
      <c r="N529" s="57"/>
      <c r="O529" s="57"/>
      <c r="P529" s="57"/>
    </row>
    <row r="530">
      <c r="M530" s="57"/>
      <c r="N530" s="57"/>
      <c r="O530" s="57"/>
      <c r="P530" s="57"/>
    </row>
    <row r="531">
      <c r="M531" s="57"/>
      <c r="N531" s="57"/>
      <c r="O531" s="57"/>
      <c r="P531" s="57"/>
    </row>
    <row r="532">
      <c r="M532" s="57"/>
      <c r="N532" s="57"/>
      <c r="O532" s="57"/>
      <c r="P532" s="57"/>
    </row>
    <row r="533">
      <c r="M533" s="57"/>
      <c r="N533" s="57"/>
      <c r="O533" s="57"/>
      <c r="P533" s="57"/>
    </row>
    <row r="534">
      <c r="M534" s="57"/>
      <c r="N534" s="57"/>
      <c r="O534" s="57"/>
      <c r="P534" s="57"/>
    </row>
    <row r="535">
      <c r="M535" s="57"/>
      <c r="N535" s="57"/>
      <c r="O535" s="57"/>
      <c r="P535" s="57"/>
    </row>
    <row r="536">
      <c r="M536" s="57"/>
      <c r="N536" s="57"/>
      <c r="O536" s="57"/>
      <c r="P536" s="57"/>
    </row>
    <row r="537">
      <c r="M537" s="57"/>
      <c r="N537" s="57"/>
      <c r="O537" s="57"/>
      <c r="P537" s="57"/>
    </row>
    <row r="538">
      <c r="M538" s="57"/>
      <c r="N538" s="57"/>
      <c r="O538" s="57"/>
      <c r="P538" s="57"/>
    </row>
    <row r="539">
      <c r="M539" s="57"/>
      <c r="N539" s="57"/>
      <c r="O539" s="57"/>
      <c r="P539" s="57"/>
    </row>
    <row r="540">
      <c r="M540" s="57"/>
      <c r="N540" s="57"/>
      <c r="O540" s="57"/>
      <c r="P540" s="57"/>
    </row>
    <row r="541">
      <c r="M541" s="57"/>
      <c r="N541" s="57"/>
      <c r="O541" s="57"/>
      <c r="P541" s="57"/>
    </row>
    <row r="542">
      <c r="M542" s="57"/>
      <c r="N542" s="57"/>
      <c r="O542" s="57"/>
      <c r="P542" s="57"/>
    </row>
    <row r="543">
      <c r="M543" s="57"/>
      <c r="N543" s="57"/>
      <c r="O543" s="57"/>
      <c r="P543" s="57"/>
    </row>
    <row r="544">
      <c r="M544" s="57"/>
      <c r="N544" s="57"/>
      <c r="O544" s="57"/>
      <c r="P544" s="57"/>
    </row>
    <row r="545">
      <c r="M545" s="57"/>
      <c r="N545" s="57"/>
      <c r="O545" s="57"/>
      <c r="P545" s="57"/>
    </row>
    <row r="546">
      <c r="M546" s="57"/>
      <c r="N546" s="57"/>
      <c r="O546" s="57"/>
      <c r="P546" s="57"/>
    </row>
    <row r="547">
      <c r="M547" s="57"/>
      <c r="N547" s="57"/>
      <c r="O547" s="57"/>
      <c r="P547" s="57"/>
    </row>
    <row r="548">
      <c r="M548" s="57"/>
      <c r="N548" s="57"/>
      <c r="O548" s="57"/>
      <c r="P548" s="57"/>
    </row>
    <row r="549">
      <c r="M549" s="57"/>
      <c r="N549" s="57"/>
      <c r="O549" s="57"/>
      <c r="P549" s="57"/>
    </row>
    <row r="550">
      <c r="M550" s="57"/>
      <c r="N550" s="57"/>
      <c r="O550" s="57"/>
      <c r="P550" s="57"/>
    </row>
    <row r="551">
      <c r="M551" s="57"/>
      <c r="N551" s="57"/>
      <c r="O551" s="57"/>
      <c r="P551" s="57"/>
    </row>
    <row r="552">
      <c r="M552" s="57"/>
      <c r="N552" s="57"/>
      <c r="O552" s="57"/>
      <c r="P552" s="57"/>
    </row>
    <row r="553">
      <c r="M553" s="57"/>
      <c r="N553" s="57"/>
      <c r="O553" s="57"/>
      <c r="P553" s="57"/>
    </row>
    <row r="554">
      <c r="M554" s="57"/>
      <c r="N554" s="57"/>
      <c r="O554" s="57"/>
      <c r="P554" s="57"/>
    </row>
    <row r="555">
      <c r="M555" s="57"/>
      <c r="N555" s="57"/>
      <c r="O555" s="57"/>
      <c r="P555" s="57"/>
    </row>
    <row r="556">
      <c r="M556" s="57"/>
      <c r="N556" s="57"/>
      <c r="O556" s="57"/>
      <c r="P556" s="57"/>
    </row>
    <row r="557">
      <c r="M557" s="57"/>
      <c r="N557" s="57"/>
      <c r="O557" s="57"/>
      <c r="P557" s="57"/>
    </row>
    <row r="558">
      <c r="M558" s="57"/>
      <c r="N558" s="57"/>
      <c r="O558" s="57"/>
      <c r="P558" s="57"/>
    </row>
    <row r="559">
      <c r="M559" s="57"/>
      <c r="N559" s="57"/>
      <c r="O559" s="57"/>
      <c r="P559" s="57"/>
    </row>
    <row r="560">
      <c r="M560" s="57"/>
      <c r="N560" s="57"/>
      <c r="O560" s="57"/>
      <c r="P560" s="57"/>
    </row>
    <row r="561">
      <c r="M561" s="57"/>
      <c r="N561" s="57"/>
      <c r="O561" s="57"/>
      <c r="P561" s="57"/>
    </row>
    <row r="562">
      <c r="M562" s="57"/>
      <c r="N562" s="57"/>
      <c r="O562" s="57"/>
      <c r="P562" s="57"/>
    </row>
    <row r="563">
      <c r="M563" s="57"/>
      <c r="N563" s="57"/>
      <c r="O563" s="57"/>
      <c r="P563" s="57"/>
    </row>
    <row r="564">
      <c r="M564" s="57"/>
      <c r="N564" s="57"/>
      <c r="O564" s="57"/>
      <c r="P564" s="57"/>
    </row>
    <row r="565">
      <c r="M565" s="57"/>
      <c r="N565" s="57"/>
      <c r="O565" s="57"/>
      <c r="P565" s="57"/>
    </row>
    <row r="566">
      <c r="M566" s="57"/>
      <c r="N566" s="57"/>
      <c r="O566" s="57"/>
      <c r="P566" s="57"/>
    </row>
    <row r="567">
      <c r="M567" s="57"/>
      <c r="N567" s="57"/>
      <c r="O567" s="57"/>
      <c r="P567" s="57"/>
    </row>
    <row r="568">
      <c r="M568" s="57"/>
      <c r="N568" s="57"/>
      <c r="O568" s="57"/>
      <c r="P568" s="57"/>
    </row>
    <row r="569">
      <c r="M569" s="57"/>
      <c r="N569" s="57"/>
      <c r="O569" s="57"/>
      <c r="P569" s="57"/>
    </row>
    <row r="570">
      <c r="M570" s="57"/>
      <c r="N570" s="57"/>
      <c r="O570" s="57"/>
      <c r="P570" s="57"/>
    </row>
    <row r="571">
      <c r="M571" s="57"/>
      <c r="N571" s="57"/>
      <c r="O571" s="57"/>
      <c r="P571" s="57"/>
    </row>
    <row r="572">
      <c r="M572" s="57"/>
      <c r="N572" s="57"/>
      <c r="O572" s="57"/>
      <c r="P572" s="57"/>
    </row>
    <row r="573">
      <c r="M573" s="57"/>
      <c r="N573" s="57"/>
      <c r="O573" s="57"/>
      <c r="P573" s="57"/>
    </row>
    <row r="574">
      <c r="M574" s="57"/>
      <c r="N574" s="57"/>
      <c r="O574" s="57"/>
      <c r="P574" s="57"/>
    </row>
    <row r="575">
      <c r="M575" s="57"/>
      <c r="N575" s="57"/>
      <c r="O575" s="57"/>
      <c r="P575" s="57"/>
    </row>
    <row r="576">
      <c r="M576" s="57"/>
      <c r="N576" s="57"/>
      <c r="O576" s="57"/>
      <c r="P576" s="57"/>
    </row>
    <row r="577">
      <c r="M577" s="57"/>
      <c r="N577" s="57"/>
      <c r="O577" s="57"/>
      <c r="P577" s="57"/>
    </row>
    <row r="578">
      <c r="M578" s="57"/>
      <c r="N578" s="57"/>
      <c r="O578" s="57"/>
      <c r="P578" s="57"/>
    </row>
    <row r="579">
      <c r="M579" s="57"/>
      <c r="N579" s="57"/>
      <c r="O579" s="57"/>
      <c r="P579" s="57"/>
    </row>
    <row r="580">
      <c r="M580" s="57"/>
      <c r="N580" s="57"/>
      <c r="O580" s="57"/>
      <c r="P580" s="57"/>
    </row>
    <row r="581">
      <c r="M581" s="57"/>
      <c r="N581" s="57"/>
      <c r="O581" s="57"/>
      <c r="P581" s="57"/>
    </row>
    <row r="582">
      <c r="M582" s="57"/>
      <c r="N582" s="57"/>
      <c r="O582" s="57"/>
      <c r="P582" s="57"/>
    </row>
    <row r="583">
      <c r="M583" s="57"/>
      <c r="N583" s="57"/>
      <c r="O583" s="57"/>
      <c r="P583" s="57"/>
    </row>
    <row r="584">
      <c r="M584" s="57"/>
      <c r="N584" s="57"/>
      <c r="O584" s="57"/>
      <c r="P584" s="57"/>
    </row>
    <row r="585">
      <c r="M585" s="57"/>
      <c r="N585" s="57"/>
      <c r="O585" s="57"/>
      <c r="P585" s="57"/>
    </row>
    <row r="586">
      <c r="M586" s="57"/>
      <c r="N586" s="57"/>
      <c r="O586" s="57"/>
      <c r="P586" s="57"/>
    </row>
    <row r="587">
      <c r="M587" s="57"/>
      <c r="N587" s="57"/>
      <c r="O587" s="57"/>
      <c r="P587" s="57"/>
    </row>
    <row r="588">
      <c r="M588" s="57"/>
      <c r="N588" s="57"/>
      <c r="O588" s="57"/>
      <c r="P588" s="57"/>
    </row>
    <row r="589">
      <c r="M589" s="57"/>
      <c r="N589" s="57"/>
      <c r="O589" s="57"/>
      <c r="P589" s="57"/>
    </row>
    <row r="590">
      <c r="M590" s="57"/>
      <c r="N590" s="57"/>
      <c r="O590" s="57"/>
      <c r="P590" s="57"/>
    </row>
    <row r="591">
      <c r="M591" s="57"/>
      <c r="N591" s="57"/>
      <c r="O591" s="57"/>
      <c r="P591" s="57"/>
    </row>
    <row r="592">
      <c r="M592" s="57"/>
      <c r="N592" s="57"/>
      <c r="O592" s="57"/>
      <c r="P592" s="57"/>
    </row>
    <row r="593">
      <c r="M593" s="57"/>
      <c r="N593" s="57"/>
      <c r="O593" s="57"/>
      <c r="P593" s="57"/>
    </row>
    <row r="594">
      <c r="M594" s="57"/>
      <c r="N594" s="57"/>
      <c r="O594" s="57"/>
      <c r="P594" s="57"/>
    </row>
    <row r="595">
      <c r="M595" s="57"/>
      <c r="N595" s="57"/>
      <c r="O595" s="57"/>
      <c r="P595" s="57"/>
    </row>
    <row r="596">
      <c r="M596" s="57"/>
      <c r="N596" s="57"/>
      <c r="O596" s="57"/>
      <c r="P596" s="57"/>
    </row>
    <row r="597">
      <c r="M597" s="57"/>
      <c r="N597" s="57"/>
      <c r="O597" s="57"/>
      <c r="P597" s="57"/>
    </row>
    <row r="598">
      <c r="M598" s="57"/>
      <c r="N598" s="57"/>
      <c r="O598" s="57"/>
      <c r="P598" s="57"/>
    </row>
    <row r="599">
      <c r="M599" s="57"/>
      <c r="N599" s="57"/>
      <c r="O599" s="57"/>
      <c r="P599" s="57"/>
    </row>
    <row r="600">
      <c r="M600" s="57"/>
      <c r="N600" s="57"/>
      <c r="O600" s="57"/>
      <c r="P600" s="57"/>
    </row>
    <row r="601">
      <c r="M601" s="57"/>
      <c r="N601" s="57"/>
      <c r="O601" s="57"/>
      <c r="P601" s="57"/>
    </row>
    <row r="602">
      <c r="M602" s="57"/>
      <c r="N602" s="57"/>
      <c r="O602" s="57"/>
      <c r="P602" s="57"/>
    </row>
    <row r="603">
      <c r="M603" s="57"/>
      <c r="N603" s="57"/>
      <c r="O603" s="57"/>
      <c r="P603" s="57"/>
    </row>
    <row r="604">
      <c r="M604" s="57"/>
      <c r="N604" s="57"/>
      <c r="O604" s="57"/>
      <c r="P604" s="57"/>
    </row>
    <row r="605">
      <c r="M605" s="57"/>
      <c r="N605" s="57"/>
      <c r="O605" s="57"/>
      <c r="P605" s="57"/>
    </row>
    <row r="606">
      <c r="M606" s="57"/>
      <c r="N606" s="57"/>
      <c r="O606" s="57"/>
      <c r="P606" s="57"/>
    </row>
    <row r="607">
      <c r="M607" s="57"/>
      <c r="N607" s="57"/>
      <c r="O607" s="57"/>
      <c r="P607" s="57"/>
    </row>
    <row r="608">
      <c r="M608" s="57"/>
      <c r="N608" s="57"/>
      <c r="O608" s="57"/>
      <c r="P608" s="57"/>
    </row>
    <row r="609">
      <c r="M609" s="57"/>
      <c r="N609" s="57"/>
      <c r="O609" s="57"/>
      <c r="P609" s="57"/>
    </row>
    <row r="610">
      <c r="M610" s="57"/>
      <c r="N610" s="57"/>
      <c r="O610" s="57"/>
      <c r="P610" s="57"/>
    </row>
    <row r="611">
      <c r="M611" s="57"/>
      <c r="N611" s="57"/>
      <c r="O611" s="57"/>
      <c r="P611" s="57"/>
    </row>
    <row r="612">
      <c r="M612" s="57"/>
      <c r="N612" s="57"/>
      <c r="O612" s="57"/>
      <c r="P612" s="57"/>
    </row>
    <row r="613">
      <c r="M613" s="57"/>
      <c r="N613" s="57"/>
      <c r="O613" s="57"/>
      <c r="P613" s="57"/>
    </row>
    <row r="614">
      <c r="M614" s="57"/>
      <c r="N614" s="57"/>
      <c r="O614" s="57"/>
      <c r="P614" s="57"/>
    </row>
    <row r="615">
      <c r="M615" s="57"/>
      <c r="N615" s="57"/>
      <c r="O615" s="57"/>
      <c r="P615" s="57"/>
    </row>
    <row r="616">
      <c r="M616" s="57"/>
      <c r="N616" s="57"/>
      <c r="O616" s="57"/>
      <c r="P616" s="57"/>
    </row>
    <row r="617">
      <c r="M617" s="57"/>
      <c r="N617" s="57"/>
      <c r="O617" s="57"/>
      <c r="P617" s="57"/>
    </row>
    <row r="618">
      <c r="M618" s="57"/>
      <c r="N618" s="57"/>
      <c r="O618" s="57"/>
      <c r="P618" s="57"/>
    </row>
    <row r="619">
      <c r="M619" s="57"/>
      <c r="N619" s="57"/>
      <c r="O619" s="57"/>
      <c r="P619" s="57"/>
    </row>
    <row r="620">
      <c r="M620" s="57"/>
      <c r="N620" s="57"/>
      <c r="O620" s="57"/>
      <c r="P620" s="57"/>
    </row>
    <row r="621">
      <c r="M621" s="57"/>
      <c r="N621" s="57"/>
      <c r="O621" s="57"/>
      <c r="P621" s="57"/>
    </row>
    <row r="622">
      <c r="M622" s="57"/>
      <c r="N622" s="57"/>
      <c r="O622" s="57"/>
      <c r="P622" s="57"/>
    </row>
    <row r="623">
      <c r="M623" s="57"/>
      <c r="N623" s="57"/>
      <c r="O623" s="57"/>
      <c r="P623" s="57"/>
    </row>
    <row r="624">
      <c r="M624" s="57"/>
      <c r="N624" s="57"/>
      <c r="O624" s="57"/>
      <c r="P624" s="57"/>
    </row>
    <row r="625">
      <c r="M625" s="57"/>
      <c r="N625" s="57"/>
      <c r="O625" s="57"/>
      <c r="P625" s="57"/>
    </row>
    <row r="626">
      <c r="M626" s="57"/>
      <c r="N626" s="57"/>
      <c r="O626" s="57"/>
      <c r="P626" s="57"/>
    </row>
    <row r="627">
      <c r="M627" s="57"/>
      <c r="N627" s="57"/>
      <c r="O627" s="57"/>
      <c r="P627" s="57"/>
    </row>
    <row r="628">
      <c r="M628" s="57"/>
      <c r="N628" s="57"/>
      <c r="O628" s="57"/>
      <c r="P628" s="57"/>
    </row>
    <row r="629">
      <c r="M629" s="57"/>
      <c r="N629" s="57"/>
      <c r="O629" s="57"/>
      <c r="P629" s="57"/>
    </row>
    <row r="630">
      <c r="M630" s="57"/>
      <c r="N630" s="57"/>
      <c r="O630" s="57"/>
      <c r="P630" s="57"/>
    </row>
    <row r="631">
      <c r="M631" s="57"/>
      <c r="N631" s="57"/>
      <c r="O631" s="57"/>
      <c r="P631" s="57"/>
    </row>
    <row r="632">
      <c r="M632" s="57"/>
      <c r="N632" s="57"/>
      <c r="O632" s="57"/>
      <c r="P632" s="57"/>
    </row>
    <row r="633">
      <c r="M633" s="57"/>
      <c r="N633" s="57"/>
      <c r="O633" s="57"/>
      <c r="P633" s="57"/>
    </row>
    <row r="634">
      <c r="M634" s="57"/>
      <c r="N634" s="57"/>
      <c r="O634" s="57"/>
      <c r="P634" s="57"/>
    </row>
    <row r="635">
      <c r="M635" s="57"/>
      <c r="N635" s="57"/>
      <c r="O635" s="57"/>
      <c r="P635" s="57"/>
    </row>
    <row r="636">
      <c r="M636" s="57"/>
      <c r="N636" s="57"/>
      <c r="O636" s="57"/>
      <c r="P636" s="57"/>
    </row>
    <row r="637">
      <c r="M637" s="57"/>
      <c r="N637" s="57"/>
      <c r="O637" s="57"/>
      <c r="P637" s="57"/>
    </row>
    <row r="638">
      <c r="M638" s="57"/>
      <c r="N638" s="57"/>
      <c r="O638" s="57"/>
      <c r="P638" s="57"/>
    </row>
    <row r="639">
      <c r="M639" s="57"/>
      <c r="N639" s="57"/>
      <c r="O639" s="57"/>
      <c r="P639" s="57"/>
    </row>
    <row r="640">
      <c r="M640" s="57"/>
      <c r="N640" s="57"/>
      <c r="O640" s="57"/>
      <c r="P640" s="57"/>
    </row>
    <row r="641">
      <c r="M641" s="57"/>
      <c r="N641" s="57"/>
      <c r="O641" s="57"/>
      <c r="P641" s="57"/>
    </row>
    <row r="642">
      <c r="M642" s="57"/>
      <c r="N642" s="57"/>
      <c r="O642" s="57"/>
      <c r="P642" s="57"/>
    </row>
    <row r="643">
      <c r="M643" s="57"/>
      <c r="N643" s="57"/>
      <c r="O643" s="57"/>
      <c r="P643" s="57"/>
    </row>
    <row r="644">
      <c r="M644" s="57"/>
      <c r="N644" s="57"/>
      <c r="O644" s="57"/>
      <c r="P644" s="57"/>
    </row>
    <row r="645">
      <c r="M645" s="57"/>
      <c r="N645" s="57"/>
      <c r="O645" s="57"/>
      <c r="P645" s="57"/>
    </row>
    <row r="646">
      <c r="M646" s="57"/>
      <c r="N646" s="57"/>
      <c r="O646" s="57"/>
      <c r="P646" s="57"/>
    </row>
    <row r="647">
      <c r="M647" s="57"/>
      <c r="N647" s="57"/>
      <c r="O647" s="57"/>
      <c r="P647" s="57"/>
    </row>
    <row r="648">
      <c r="M648" s="57"/>
      <c r="N648" s="57"/>
      <c r="O648" s="57"/>
      <c r="P648" s="57"/>
    </row>
    <row r="649">
      <c r="M649" s="57"/>
      <c r="N649" s="57"/>
      <c r="O649" s="57"/>
      <c r="P649" s="57"/>
    </row>
    <row r="650">
      <c r="M650" s="57"/>
      <c r="N650" s="57"/>
      <c r="O650" s="57"/>
      <c r="P650" s="57"/>
    </row>
    <row r="651">
      <c r="M651" s="57"/>
      <c r="N651" s="57"/>
      <c r="O651" s="57"/>
      <c r="P651" s="57"/>
    </row>
    <row r="652">
      <c r="M652" s="57"/>
      <c r="N652" s="57"/>
      <c r="O652" s="57"/>
      <c r="P652" s="57"/>
    </row>
    <row r="653">
      <c r="M653" s="57"/>
      <c r="N653" s="57"/>
      <c r="O653" s="57"/>
      <c r="P653" s="57"/>
    </row>
    <row r="654">
      <c r="M654" s="57"/>
      <c r="N654" s="57"/>
      <c r="O654" s="57"/>
      <c r="P654" s="57"/>
    </row>
    <row r="655">
      <c r="M655" s="57"/>
      <c r="N655" s="57"/>
      <c r="O655" s="57"/>
      <c r="P655" s="57"/>
    </row>
    <row r="656">
      <c r="M656" s="57"/>
      <c r="N656" s="57"/>
      <c r="O656" s="57"/>
      <c r="P656" s="57"/>
    </row>
    <row r="657">
      <c r="M657" s="57"/>
      <c r="N657" s="57"/>
      <c r="O657" s="57"/>
      <c r="P657" s="57"/>
    </row>
    <row r="658">
      <c r="M658" s="57"/>
      <c r="N658" s="57"/>
      <c r="O658" s="57"/>
      <c r="P658" s="57"/>
    </row>
    <row r="659">
      <c r="M659" s="57"/>
      <c r="N659" s="57"/>
      <c r="O659" s="57"/>
      <c r="P659" s="57"/>
    </row>
    <row r="660">
      <c r="M660" s="57"/>
      <c r="N660" s="57"/>
      <c r="O660" s="57"/>
      <c r="P660" s="57"/>
    </row>
    <row r="661">
      <c r="M661" s="57"/>
      <c r="N661" s="57"/>
      <c r="O661" s="57"/>
      <c r="P661" s="57"/>
    </row>
    <row r="662">
      <c r="M662" s="57"/>
      <c r="N662" s="57"/>
      <c r="O662" s="57"/>
      <c r="P662" s="57"/>
    </row>
    <row r="663">
      <c r="M663" s="57"/>
      <c r="N663" s="57"/>
      <c r="O663" s="57"/>
      <c r="P663" s="57"/>
    </row>
    <row r="664">
      <c r="M664" s="57"/>
      <c r="N664" s="57"/>
      <c r="O664" s="57"/>
      <c r="P664" s="57"/>
    </row>
    <row r="665">
      <c r="M665" s="57"/>
      <c r="N665" s="57"/>
      <c r="O665" s="57"/>
      <c r="P665" s="57"/>
    </row>
    <row r="666">
      <c r="M666" s="57"/>
      <c r="N666" s="57"/>
      <c r="O666" s="57"/>
      <c r="P666" s="57"/>
    </row>
    <row r="667">
      <c r="M667" s="57"/>
      <c r="N667" s="57"/>
      <c r="O667" s="57"/>
      <c r="P667" s="57"/>
    </row>
    <row r="668">
      <c r="M668" s="57"/>
      <c r="N668" s="57"/>
      <c r="O668" s="57"/>
      <c r="P668" s="57"/>
    </row>
    <row r="669">
      <c r="M669" s="57"/>
      <c r="N669" s="57"/>
      <c r="O669" s="57"/>
      <c r="P669" s="57"/>
    </row>
    <row r="670">
      <c r="M670" s="57"/>
      <c r="N670" s="57"/>
      <c r="O670" s="57"/>
      <c r="P670" s="57"/>
    </row>
    <row r="671">
      <c r="M671" s="57"/>
      <c r="N671" s="57"/>
      <c r="O671" s="57"/>
      <c r="P671" s="57"/>
    </row>
    <row r="672">
      <c r="M672" s="57"/>
      <c r="N672" s="57"/>
      <c r="O672" s="57"/>
      <c r="P672" s="57"/>
    </row>
    <row r="673">
      <c r="M673" s="57"/>
      <c r="N673" s="57"/>
      <c r="O673" s="57"/>
      <c r="P673" s="57"/>
    </row>
    <row r="674">
      <c r="M674" s="57"/>
      <c r="N674" s="57"/>
      <c r="O674" s="57"/>
      <c r="P674" s="57"/>
    </row>
    <row r="675">
      <c r="M675" s="57"/>
      <c r="N675" s="57"/>
      <c r="O675" s="57"/>
      <c r="P675" s="57"/>
    </row>
    <row r="676">
      <c r="M676" s="57"/>
      <c r="N676" s="57"/>
      <c r="O676" s="57"/>
      <c r="P676" s="57"/>
    </row>
    <row r="677">
      <c r="M677" s="57"/>
      <c r="N677" s="57"/>
      <c r="O677" s="57"/>
      <c r="P677" s="57"/>
    </row>
    <row r="678">
      <c r="M678" s="57"/>
      <c r="N678" s="57"/>
      <c r="O678" s="57"/>
      <c r="P678" s="57"/>
    </row>
    <row r="679">
      <c r="M679" s="57"/>
      <c r="N679" s="57"/>
      <c r="O679" s="57"/>
      <c r="P679" s="57"/>
    </row>
    <row r="680">
      <c r="M680" s="57"/>
      <c r="N680" s="57"/>
      <c r="O680" s="57"/>
      <c r="P680" s="57"/>
    </row>
    <row r="681">
      <c r="M681" s="57"/>
      <c r="N681" s="57"/>
      <c r="O681" s="57"/>
      <c r="P681" s="57"/>
    </row>
    <row r="682">
      <c r="M682" s="57"/>
      <c r="N682" s="57"/>
      <c r="O682" s="57"/>
      <c r="P682" s="57"/>
    </row>
    <row r="683">
      <c r="M683" s="57"/>
      <c r="N683" s="57"/>
      <c r="O683" s="57"/>
      <c r="P683" s="57"/>
    </row>
    <row r="684">
      <c r="M684" s="57"/>
      <c r="N684" s="57"/>
      <c r="O684" s="57"/>
      <c r="P684" s="57"/>
    </row>
    <row r="685">
      <c r="M685" s="57"/>
      <c r="N685" s="57"/>
      <c r="O685" s="57"/>
      <c r="P685" s="57"/>
    </row>
    <row r="686">
      <c r="M686" s="57"/>
      <c r="N686" s="57"/>
      <c r="O686" s="57"/>
      <c r="P686" s="57"/>
    </row>
    <row r="687">
      <c r="M687" s="57"/>
      <c r="N687" s="57"/>
      <c r="O687" s="57"/>
      <c r="P687" s="57"/>
    </row>
    <row r="688">
      <c r="M688" s="57"/>
      <c r="N688" s="57"/>
      <c r="O688" s="57"/>
      <c r="P688" s="57"/>
    </row>
    <row r="689">
      <c r="M689" s="57"/>
      <c r="N689" s="57"/>
      <c r="O689" s="57"/>
      <c r="P689" s="57"/>
    </row>
    <row r="690">
      <c r="M690" s="57"/>
      <c r="N690" s="57"/>
      <c r="O690" s="57"/>
      <c r="P690" s="57"/>
    </row>
    <row r="691">
      <c r="M691" s="57"/>
      <c r="N691" s="57"/>
      <c r="O691" s="57"/>
      <c r="P691" s="57"/>
    </row>
    <row r="692">
      <c r="M692" s="57"/>
      <c r="N692" s="57"/>
      <c r="O692" s="57"/>
      <c r="P692" s="57"/>
    </row>
    <row r="693">
      <c r="M693" s="57"/>
      <c r="N693" s="57"/>
      <c r="O693" s="57"/>
      <c r="P693" s="57"/>
    </row>
    <row r="694">
      <c r="M694" s="57"/>
      <c r="N694" s="57"/>
      <c r="O694" s="57"/>
      <c r="P694" s="57"/>
    </row>
    <row r="695">
      <c r="M695" s="57"/>
      <c r="N695" s="57"/>
      <c r="O695" s="57"/>
      <c r="P695" s="57"/>
    </row>
    <row r="696">
      <c r="M696" s="57"/>
      <c r="N696" s="57"/>
      <c r="O696" s="57"/>
      <c r="P696" s="57"/>
    </row>
    <row r="697">
      <c r="M697" s="57"/>
      <c r="N697" s="57"/>
      <c r="O697" s="57"/>
      <c r="P697" s="57"/>
    </row>
    <row r="698">
      <c r="M698" s="57"/>
      <c r="N698" s="57"/>
      <c r="O698" s="57"/>
      <c r="P698" s="57"/>
    </row>
    <row r="699">
      <c r="M699" s="57"/>
      <c r="N699" s="57"/>
      <c r="O699" s="57"/>
      <c r="P699" s="57"/>
    </row>
    <row r="700">
      <c r="M700" s="57"/>
      <c r="N700" s="57"/>
      <c r="O700" s="57"/>
      <c r="P700" s="57"/>
    </row>
    <row r="701">
      <c r="M701" s="57"/>
      <c r="N701" s="57"/>
      <c r="O701" s="57"/>
      <c r="P701" s="57"/>
    </row>
    <row r="702">
      <c r="M702" s="57"/>
      <c r="N702" s="57"/>
      <c r="O702" s="57"/>
      <c r="P702" s="57"/>
    </row>
    <row r="703">
      <c r="M703" s="57"/>
      <c r="N703" s="57"/>
      <c r="O703" s="57"/>
      <c r="P703" s="57"/>
    </row>
    <row r="704">
      <c r="M704" s="57"/>
      <c r="N704" s="57"/>
      <c r="O704" s="57"/>
      <c r="P704" s="57"/>
    </row>
    <row r="705">
      <c r="M705" s="57"/>
      <c r="N705" s="57"/>
      <c r="O705" s="57"/>
      <c r="P705" s="57"/>
    </row>
    <row r="706">
      <c r="M706" s="57"/>
      <c r="N706" s="57"/>
      <c r="O706" s="57"/>
      <c r="P706" s="57"/>
    </row>
    <row r="707">
      <c r="M707" s="57"/>
      <c r="N707" s="57"/>
      <c r="O707" s="57"/>
      <c r="P707" s="57"/>
    </row>
    <row r="708">
      <c r="M708" s="57"/>
      <c r="N708" s="57"/>
      <c r="O708" s="57"/>
      <c r="P708" s="57"/>
    </row>
    <row r="709">
      <c r="M709" s="57"/>
      <c r="N709" s="57"/>
      <c r="O709" s="57"/>
      <c r="P709" s="57"/>
    </row>
    <row r="710">
      <c r="M710" s="57"/>
      <c r="N710" s="57"/>
      <c r="O710" s="57"/>
      <c r="P710" s="57"/>
    </row>
    <row r="711">
      <c r="M711" s="57"/>
      <c r="N711" s="57"/>
      <c r="O711" s="57"/>
      <c r="P711" s="57"/>
    </row>
    <row r="712">
      <c r="M712" s="57"/>
      <c r="N712" s="57"/>
      <c r="O712" s="57"/>
      <c r="P712" s="57"/>
    </row>
    <row r="713">
      <c r="M713" s="57"/>
      <c r="N713" s="57"/>
      <c r="O713" s="57"/>
      <c r="P713" s="57"/>
    </row>
    <row r="714">
      <c r="M714" s="57"/>
      <c r="N714" s="57"/>
      <c r="O714" s="57"/>
      <c r="P714" s="57"/>
    </row>
    <row r="715">
      <c r="M715" s="57"/>
      <c r="N715" s="57"/>
      <c r="O715" s="57"/>
      <c r="P715" s="57"/>
    </row>
    <row r="716">
      <c r="M716" s="57"/>
      <c r="N716" s="57"/>
      <c r="O716" s="57"/>
      <c r="P716" s="57"/>
    </row>
    <row r="717">
      <c r="M717" s="57"/>
      <c r="N717" s="57"/>
      <c r="O717" s="57"/>
      <c r="P717" s="57"/>
    </row>
    <row r="718">
      <c r="M718" s="57"/>
      <c r="N718" s="57"/>
      <c r="O718" s="57"/>
      <c r="P718" s="57"/>
    </row>
    <row r="719">
      <c r="M719" s="57"/>
      <c r="N719" s="57"/>
      <c r="O719" s="57"/>
      <c r="P719" s="57"/>
    </row>
    <row r="720">
      <c r="M720" s="57"/>
      <c r="N720" s="57"/>
      <c r="O720" s="57"/>
      <c r="P720" s="57"/>
    </row>
    <row r="721">
      <c r="M721" s="57"/>
      <c r="N721" s="57"/>
      <c r="O721" s="57"/>
      <c r="P721" s="57"/>
    </row>
    <row r="722">
      <c r="M722" s="57"/>
      <c r="N722" s="57"/>
      <c r="O722" s="57"/>
      <c r="P722" s="57"/>
    </row>
    <row r="723">
      <c r="M723" s="57"/>
      <c r="N723" s="57"/>
      <c r="O723" s="57"/>
      <c r="P723" s="57"/>
    </row>
    <row r="724">
      <c r="M724" s="57"/>
      <c r="N724" s="57"/>
      <c r="O724" s="57"/>
      <c r="P724" s="57"/>
    </row>
    <row r="725">
      <c r="M725" s="57"/>
      <c r="N725" s="57"/>
      <c r="O725" s="57"/>
      <c r="P725" s="57"/>
    </row>
    <row r="726">
      <c r="M726" s="57"/>
      <c r="N726" s="57"/>
      <c r="O726" s="57"/>
      <c r="P726" s="57"/>
    </row>
    <row r="727">
      <c r="M727" s="57"/>
      <c r="N727" s="57"/>
      <c r="O727" s="57"/>
      <c r="P727" s="57"/>
    </row>
    <row r="728">
      <c r="M728" s="57"/>
      <c r="N728" s="57"/>
      <c r="O728" s="57"/>
      <c r="P728" s="57"/>
    </row>
    <row r="729">
      <c r="M729" s="57"/>
      <c r="N729" s="57"/>
      <c r="O729" s="57"/>
      <c r="P729" s="57"/>
    </row>
    <row r="730">
      <c r="M730" s="57"/>
      <c r="N730" s="57"/>
      <c r="O730" s="57"/>
      <c r="P730" s="57"/>
    </row>
    <row r="731">
      <c r="M731" s="57"/>
      <c r="N731" s="57"/>
      <c r="O731" s="57"/>
      <c r="P731" s="57"/>
    </row>
    <row r="732">
      <c r="M732" s="57"/>
      <c r="N732" s="57"/>
      <c r="O732" s="57"/>
      <c r="P732" s="57"/>
    </row>
    <row r="733">
      <c r="M733" s="57"/>
      <c r="N733" s="57"/>
      <c r="O733" s="57"/>
      <c r="P733" s="57"/>
    </row>
    <row r="734">
      <c r="M734" s="57"/>
      <c r="N734" s="57"/>
      <c r="O734" s="57"/>
      <c r="P734" s="57"/>
    </row>
    <row r="735">
      <c r="M735" s="57"/>
      <c r="N735" s="57"/>
      <c r="O735" s="57"/>
      <c r="P735" s="57"/>
    </row>
    <row r="736">
      <c r="M736" s="57"/>
      <c r="N736" s="57"/>
      <c r="O736" s="57"/>
      <c r="P736" s="57"/>
    </row>
    <row r="737">
      <c r="M737" s="57"/>
      <c r="N737" s="57"/>
      <c r="O737" s="57"/>
      <c r="P737" s="57"/>
    </row>
    <row r="738">
      <c r="M738" s="57"/>
      <c r="N738" s="57"/>
      <c r="O738" s="57"/>
      <c r="P738" s="57"/>
    </row>
    <row r="739">
      <c r="M739" s="57"/>
      <c r="N739" s="57"/>
      <c r="O739" s="57"/>
      <c r="P739" s="57"/>
    </row>
    <row r="740">
      <c r="M740" s="57"/>
      <c r="N740" s="57"/>
      <c r="O740" s="57"/>
      <c r="P740" s="57"/>
    </row>
    <row r="741">
      <c r="M741" s="57"/>
      <c r="N741" s="57"/>
      <c r="O741" s="57"/>
      <c r="P741" s="57"/>
    </row>
    <row r="742">
      <c r="M742" s="57"/>
      <c r="N742" s="57"/>
      <c r="O742" s="57"/>
      <c r="P742" s="57"/>
    </row>
    <row r="743">
      <c r="M743" s="57"/>
      <c r="N743" s="57"/>
      <c r="O743" s="57"/>
      <c r="P743" s="57"/>
    </row>
    <row r="744">
      <c r="M744" s="57"/>
      <c r="N744" s="57"/>
      <c r="O744" s="57"/>
      <c r="P744" s="57"/>
    </row>
    <row r="745">
      <c r="M745" s="57"/>
      <c r="N745" s="57"/>
      <c r="O745" s="57"/>
      <c r="P745" s="57"/>
    </row>
    <row r="746">
      <c r="M746" s="57"/>
      <c r="N746" s="57"/>
      <c r="O746" s="57"/>
      <c r="P746" s="57"/>
    </row>
    <row r="747">
      <c r="M747" s="57"/>
      <c r="N747" s="57"/>
      <c r="O747" s="57"/>
      <c r="P747" s="57"/>
    </row>
    <row r="748">
      <c r="M748" s="57"/>
      <c r="N748" s="57"/>
      <c r="O748" s="57"/>
      <c r="P748" s="57"/>
    </row>
    <row r="749">
      <c r="M749" s="57"/>
      <c r="N749" s="57"/>
      <c r="O749" s="57"/>
      <c r="P749" s="57"/>
    </row>
    <row r="750">
      <c r="M750" s="57"/>
      <c r="N750" s="57"/>
      <c r="O750" s="57"/>
      <c r="P750" s="57"/>
    </row>
    <row r="751">
      <c r="M751" s="57"/>
      <c r="N751" s="57"/>
      <c r="O751" s="57"/>
      <c r="P751" s="57"/>
    </row>
    <row r="752">
      <c r="M752" s="57"/>
      <c r="N752" s="57"/>
      <c r="O752" s="57"/>
      <c r="P752" s="57"/>
    </row>
    <row r="753">
      <c r="M753" s="57"/>
      <c r="N753" s="57"/>
      <c r="O753" s="57"/>
      <c r="P753" s="57"/>
    </row>
    <row r="754">
      <c r="M754" s="57"/>
      <c r="N754" s="57"/>
      <c r="O754" s="57"/>
      <c r="P754" s="57"/>
    </row>
    <row r="755">
      <c r="M755" s="57"/>
      <c r="N755" s="57"/>
      <c r="O755" s="57"/>
      <c r="P755" s="57"/>
    </row>
    <row r="756">
      <c r="M756" s="57"/>
      <c r="N756" s="57"/>
      <c r="O756" s="57"/>
      <c r="P756" s="57"/>
    </row>
    <row r="757">
      <c r="M757" s="57"/>
      <c r="N757" s="57"/>
      <c r="O757" s="57"/>
      <c r="P757" s="57"/>
    </row>
    <row r="758">
      <c r="M758" s="57"/>
      <c r="N758" s="57"/>
      <c r="O758" s="57"/>
      <c r="P758" s="57"/>
    </row>
    <row r="759">
      <c r="M759" s="57"/>
      <c r="N759" s="57"/>
      <c r="O759" s="57"/>
      <c r="P759" s="57"/>
    </row>
    <row r="760">
      <c r="M760" s="57"/>
      <c r="N760" s="57"/>
      <c r="O760" s="57"/>
      <c r="P760" s="57"/>
    </row>
    <row r="761">
      <c r="M761" s="57"/>
      <c r="N761" s="57"/>
      <c r="O761" s="57"/>
      <c r="P761" s="57"/>
    </row>
    <row r="762">
      <c r="M762" s="57"/>
      <c r="N762" s="57"/>
      <c r="O762" s="57"/>
      <c r="P762" s="57"/>
    </row>
    <row r="763">
      <c r="M763" s="57"/>
      <c r="N763" s="57"/>
      <c r="O763" s="57"/>
      <c r="P763" s="57"/>
    </row>
    <row r="764">
      <c r="M764" s="57"/>
      <c r="N764" s="57"/>
      <c r="O764" s="57"/>
      <c r="P764" s="57"/>
    </row>
    <row r="765">
      <c r="M765" s="57"/>
      <c r="N765" s="57"/>
      <c r="O765" s="57"/>
      <c r="P765" s="57"/>
    </row>
    <row r="766">
      <c r="M766" s="57"/>
      <c r="N766" s="57"/>
      <c r="O766" s="57"/>
      <c r="P766" s="57"/>
    </row>
    <row r="767">
      <c r="M767" s="57"/>
      <c r="N767" s="57"/>
      <c r="O767" s="57"/>
      <c r="P767" s="57"/>
    </row>
    <row r="768">
      <c r="M768" s="57"/>
      <c r="N768" s="57"/>
      <c r="O768" s="57"/>
      <c r="P768" s="57"/>
    </row>
    <row r="769">
      <c r="M769" s="57"/>
      <c r="N769" s="57"/>
      <c r="O769" s="57"/>
      <c r="P769" s="57"/>
    </row>
    <row r="770">
      <c r="M770" s="57"/>
      <c r="N770" s="57"/>
      <c r="O770" s="57"/>
      <c r="P770" s="57"/>
    </row>
    <row r="771">
      <c r="M771" s="57"/>
      <c r="N771" s="57"/>
      <c r="O771" s="57"/>
      <c r="P771" s="57"/>
    </row>
    <row r="772">
      <c r="M772" s="57"/>
      <c r="N772" s="57"/>
      <c r="O772" s="57"/>
      <c r="P772" s="57"/>
    </row>
    <row r="773">
      <c r="M773" s="57"/>
      <c r="N773" s="57"/>
      <c r="O773" s="57"/>
      <c r="P773" s="57"/>
    </row>
    <row r="774">
      <c r="M774" s="57"/>
      <c r="N774" s="57"/>
      <c r="O774" s="57"/>
      <c r="P774" s="57"/>
    </row>
    <row r="775">
      <c r="M775" s="57"/>
      <c r="N775" s="57"/>
      <c r="O775" s="57"/>
      <c r="P775" s="57"/>
    </row>
    <row r="776">
      <c r="M776" s="57"/>
      <c r="N776" s="57"/>
      <c r="O776" s="57"/>
      <c r="P776" s="57"/>
    </row>
    <row r="777">
      <c r="M777" s="57"/>
      <c r="N777" s="57"/>
      <c r="O777" s="57"/>
      <c r="P777" s="57"/>
    </row>
    <row r="778">
      <c r="M778" s="57"/>
      <c r="N778" s="57"/>
      <c r="O778" s="57"/>
      <c r="P778" s="57"/>
    </row>
    <row r="779">
      <c r="M779" s="57"/>
      <c r="N779" s="57"/>
      <c r="O779" s="57"/>
      <c r="P779" s="57"/>
    </row>
    <row r="780">
      <c r="M780" s="57"/>
      <c r="N780" s="57"/>
      <c r="O780" s="57"/>
      <c r="P780" s="57"/>
    </row>
    <row r="781">
      <c r="M781" s="57"/>
      <c r="N781" s="57"/>
      <c r="O781" s="57"/>
      <c r="P781" s="57"/>
    </row>
    <row r="782">
      <c r="M782" s="57"/>
      <c r="N782" s="57"/>
      <c r="O782" s="57"/>
      <c r="P782" s="57"/>
    </row>
    <row r="783">
      <c r="M783" s="57"/>
      <c r="N783" s="57"/>
      <c r="O783" s="57"/>
      <c r="P783" s="57"/>
    </row>
    <row r="784">
      <c r="M784" s="57"/>
      <c r="N784" s="57"/>
      <c r="O784" s="57"/>
      <c r="P784" s="57"/>
    </row>
    <row r="785">
      <c r="M785" s="57"/>
      <c r="N785" s="57"/>
      <c r="O785" s="57"/>
      <c r="P785" s="57"/>
    </row>
    <row r="786">
      <c r="M786" s="57"/>
      <c r="N786" s="57"/>
      <c r="O786" s="57"/>
      <c r="P786" s="57"/>
    </row>
    <row r="787">
      <c r="M787" s="57"/>
      <c r="N787" s="57"/>
      <c r="O787" s="57"/>
      <c r="P787" s="57"/>
    </row>
    <row r="788">
      <c r="M788" s="57"/>
      <c r="N788" s="57"/>
      <c r="O788" s="57"/>
      <c r="P788" s="57"/>
    </row>
    <row r="789">
      <c r="M789" s="57"/>
      <c r="N789" s="57"/>
      <c r="O789" s="57"/>
      <c r="P789" s="57"/>
    </row>
    <row r="790">
      <c r="M790" s="57"/>
      <c r="N790" s="57"/>
      <c r="O790" s="57"/>
      <c r="P790" s="57"/>
    </row>
    <row r="791">
      <c r="M791" s="57"/>
      <c r="N791" s="57"/>
      <c r="O791" s="57"/>
      <c r="P791" s="57"/>
    </row>
    <row r="792">
      <c r="M792" s="57"/>
      <c r="N792" s="57"/>
      <c r="O792" s="57"/>
      <c r="P792" s="57"/>
    </row>
    <row r="793">
      <c r="M793" s="57"/>
      <c r="N793" s="57"/>
      <c r="O793" s="57"/>
      <c r="P793" s="57"/>
    </row>
    <row r="794">
      <c r="M794" s="57"/>
      <c r="N794" s="57"/>
      <c r="O794" s="57"/>
      <c r="P794" s="57"/>
    </row>
    <row r="795">
      <c r="M795" s="57"/>
      <c r="N795" s="57"/>
      <c r="O795" s="57"/>
      <c r="P795" s="57"/>
    </row>
    <row r="796">
      <c r="M796" s="57"/>
      <c r="N796" s="57"/>
      <c r="O796" s="57"/>
      <c r="P796" s="57"/>
    </row>
    <row r="797">
      <c r="M797" s="57"/>
      <c r="N797" s="57"/>
      <c r="O797" s="57"/>
      <c r="P797" s="57"/>
    </row>
    <row r="798">
      <c r="M798" s="57"/>
      <c r="N798" s="57"/>
      <c r="O798" s="57"/>
      <c r="P798" s="57"/>
    </row>
    <row r="799">
      <c r="M799" s="57"/>
      <c r="N799" s="57"/>
      <c r="O799" s="57"/>
      <c r="P799" s="57"/>
    </row>
    <row r="800">
      <c r="M800" s="57"/>
      <c r="N800" s="57"/>
      <c r="O800" s="57"/>
      <c r="P800" s="57"/>
    </row>
    <row r="801">
      <c r="M801" s="57"/>
      <c r="N801" s="57"/>
      <c r="O801" s="57"/>
      <c r="P801" s="57"/>
    </row>
    <row r="802">
      <c r="M802" s="57"/>
      <c r="N802" s="57"/>
      <c r="O802" s="57"/>
      <c r="P802" s="57"/>
    </row>
    <row r="803">
      <c r="M803" s="57"/>
      <c r="N803" s="57"/>
      <c r="O803" s="57"/>
      <c r="P803" s="57"/>
    </row>
    <row r="804">
      <c r="M804" s="57"/>
      <c r="N804" s="57"/>
      <c r="O804" s="57"/>
      <c r="P804" s="57"/>
    </row>
    <row r="805">
      <c r="M805" s="57"/>
      <c r="N805" s="57"/>
      <c r="O805" s="57"/>
      <c r="P805" s="57"/>
    </row>
    <row r="806">
      <c r="M806" s="57"/>
      <c r="N806" s="57"/>
      <c r="O806" s="57"/>
      <c r="P806" s="57"/>
    </row>
    <row r="807">
      <c r="M807" s="57"/>
      <c r="N807" s="57"/>
      <c r="O807" s="57"/>
      <c r="P807" s="57"/>
    </row>
    <row r="808">
      <c r="M808" s="57"/>
      <c r="N808" s="57"/>
      <c r="O808" s="57"/>
      <c r="P808" s="57"/>
    </row>
    <row r="809">
      <c r="M809" s="57"/>
      <c r="N809" s="57"/>
      <c r="O809" s="57"/>
      <c r="P809" s="57"/>
    </row>
    <row r="810">
      <c r="M810" s="57"/>
      <c r="N810" s="57"/>
      <c r="O810" s="57"/>
      <c r="P810" s="57"/>
    </row>
    <row r="811">
      <c r="M811" s="57"/>
      <c r="N811" s="57"/>
      <c r="O811" s="57"/>
      <c r="P811" s="57"/>
    </row>
    <row r="812">
      <c r="M812" s="57"/>
      <c r="N812" s="57"/>
      <c r="O812" s="57"/>
      <c r="P812" s="57"/>
    </row>
    <row r="813">
      <c r="M813" s="57"/>
      <c r="N813" s="57"/>
      <c r="O813" s="57"/>
      <c r="P813" s="57"/>
    </row>
    <row r="814">
      <c r="M814" s="57"/>
      <c r="N814" s="57"/>
      <c r="O814" s="57"/>
      <c r="P814" s="57"/>
    </row>
    <row r="815">
      <c r="M815" s="57"/>
      <c r="N815" s="57"/>
      <c r="O815" s="57"/>
      <c r="P815" s="57"/>
    </row>
    <row r="816">
      <c r="M816" s="57"/>
      <c r="N816" s="57"/>
      <c r="O816" s="57"/>
      <c r="P816" s="57"/>
    </row>
    <row r="817">
      <c r="M817" s="57"/>
      <c r="N817" s="57"/>
      <c r="O817" s="57"/>
      <c r="P817" s="57"/>
    </row>
    <row r="818">
      <c r="M818" s="57"/>
      <c r="N818" s="57"/>
      <c r="O818" s="57"/>
      <c r="P818" s="57"/>
    </row>
    <row r="819">
      <c r="M819" s="57"/>
      <c r="N819" s="57"/>
      <c r="O819" s="57"/>
      <c r="P819" s="57"/>
    </row>
    <row r="820">
      <c r="M820" s="57"/>
      <c r="N820" s="57"/>
      <c r="O820" s="57"/>
      <c r="P820" s="57"/>
    </row>
    <row r="821">
      <c r="M821" s="57"/>
      <c r="N821" s="57"/>
      <c r="O821" s="57"/>
      <c r="P821" s="57"/>
    </row>
    <row r="822">
      <c r="M822" s="57"/>
      <c r="N822" s="57"/>
      <c r="O822" s="57"/>
      <c r="P822" s="57"/>
    </row>
    <row r="823">
      <c r="M823" s="57"/>
      <c r="N823" s="57"/>
      <c r="O823" s="57"/>
      <c r="P823" s="57"/>
    </row>
    <row r="824">
      <c r="M824" s="57"/>
      <c r="N824" s="57"/>
      <c r="O824" s="57"/>
      <c r="P824" s="57"/>
    </row>
    <row r="825">
      <c r="M825" s="57"/>
      <c r="N825" s="57"/>
      <c r="O825" s="57"/>
      <c r="P825" s="57"/>
    </row>
    <row r="826">
      <c r="M826" s="57"/>
      <c r="N826" s="57"/>
      <c r="O826" s="57"/>
      <c r="P826" s="57"/>
    </row>
    <row r="827">
      <c r="M827" s="57"/>
      <c r="N827" s="57"/>
      <c r="O827" s="57"/>
      <c r="P827" s="57"/>
    </row>
    <row r="828">
      <c r="M828" s="57"/>
      <c r="N828" s="57"/>
      <c r="O828" s="57"/>
      <c r="P828" s="57"/>
    </row>
    <row r="829">
      <c r="M829" s="57"/>
      <c r="N829" s="57"/>
      <c r="O829" s="57"/>
      <c r="P829" s="57"/>
    </row>
    <row r="830">
      <c r="M830" s="57"/>
      <c r="N830" s="57"/>
      <c r="O830" s="57"/>
      <c r="P830" s="57"/>
    </row>
    <row r="831">
      <c r="M831" s="57"/>
      <c r="N831" s="57"/>
      <c r="O831" s="57"/>
      <c r="P831" s="57"/>
    </row>
    <row r="832">
      <c r="M832" s="57"/>
      <c r="N832" s="57"/>
      <c r="O832" s="57"/>
      <c r="P832" s="57"/>
    </row>
    <row r="833">
      <c r="M833" s="57"/>
      <c r="N833" s="57"/>
      <c r="O833" s="57"/>
      <c r="P833" s="57"/>
    </row>
    <row r="834">
      <c r="M834" s="57"/>
      <c r="N834" s="57"/>
      <c r="O834" s="57"/>
      <c r="P834" s="57"/>
    </row>
    <row r="835">
      <c r="M835" s="57"/>
      <c r="N835" s="57"/>
      <c r="O835" s="57"/>
      <c r="P835" s="57"/>
    </row>
    <row r="836">
      <c r="M836" s="57"/>
      <c r="N836" s="57"/>
      <c r="O836" s="57"/>
      <c r="P836" s="57"/>
    </row>
    <row r="837">
      <c r="M837" s="57"/>
      <c r="N837" s="57"/>
      <c r="O837" s="57"/>
      <c r="P837" s="57"/>
    </row>
    <row r="838">
      <c r="M838" s="57"/>
      <c r="N838" s="57"/>
      <c r="O838" s="57"/>
      <c r="P838" s="57"/>
    </row>
    <row r="839">
      <c r="M839" s="57"/>
      <c r="N839" s="57"/>
      <c r="O839" s="57"/>
      <c r="P839" s="57"/>
    </row>
    <row r="840">
      <c r="M840" s="57"/>
      <c r="N840" s="57"/>
      <c r="O840" s="57"/>
      <c r="P840" s="57"/>
    </row>
    <row r="841">
      <c r="M841" s="57"/>
      <c r="N841" s="57"/>
      <c r="O841" s="57"/>
      <c r="P841" s="57"/>
    </row>
    <row r="842">
      <c r="M842" s="57"/>
      <c r="N842" s="57"/>
      <c r="O842" s="57"/>
      <c r="P842" s="57"/>
    </row>
    <row r="843">
      <c r="M843" s="57"/>
      <c r="N843" s="57"/>
      <c r="O843" s="57"/>
      <c r="P843" s="57"/>
    </row>
    <row r="844">
      <c r="M844" s="57"/>
      <c r="N844" s="57"/>
      <c r="O844" s="57"/>
      <c r="P844" s="57"/>
    </row>
    <row r="845">
      <c r="M845" s="57"/>
      <c r="N845" s="57"/>
      <c r="O845" s="57"/>
      <c r="P845" s="57"/>
    </row>
    <row r="846">
      <c r="M846" s="57"/>
      <c r="N846" s="57"/>
      <c r="O846" s="57"/>
      <c r="P846" s="57"/>
    </row>
    <row r="847">
      <c r="M847" s="57"/>
      <c r="N847" s="57"/>
      <c r="O847" s="57"/>
      <c r="P847" s="57"/>
    </row>
    <row r="848">
      <c r="M848" s="57"/>
      <c r="N848" s="57"/>
      <c r="O848" s="57"/>
      <c r="P848" s="57"/>
    </row>
    <row r="849">
      <c r="M849" s="57"/>
      <c r="N849" s="57"/>
      <c r="O849" s="57"/>
      <c r="P849" s="57"/>
    </row>
    <row r="850">
      <c r="M850" s="57"/>
      <c r="N850" s="57"/>
      <c r="O850" s="57"/>
      <c r="P850" s="57"/>
    </row>
    <row r="851">
      <c r="M851" s="57"/>
      <c r="N851" s="57"/>
      <c r="O851" s="57"/>
      <c r="P851" s="57"/>
    </row>
    <row r="852">
      <c r="M852" s="57"/>
      <c r="N852" s="57"/>
      <c r="O852" s="57"/>
      <c r="P852" s="57"/>
    </row>
    <row r="853">
      <c r="M853" s="57"/>
      <c r="N853" s="57"/>
      <c r="O853" s="57"/>
      <c r="P853" s="57"/>
    </row>
    <row r="854">
      <c r="M854" s="57"/>
      <c r="N854" s="57"/>
      <c r="O854" s="57"/>
      <c r="P854" s="57"/>
    </row>
    <row r="855">
      <c r="M855" s="57"/>
      <c r="N855" s="57"/>
      <c r="O855" s="57"/>
      <c r="P855" s="57"/>
    </row>
    <row r="856">
      <c r="M856" s="57"/>
      <c r="N856" s="57"/>
      <c r="O856" s="57"/>
      <c r="P856" s="57"/>
    </row>
    <row r="857">
      <c r="M857" s="57"/>
      <c r="N857" s="57"/>
      <c r="O857" s="57"/>
      <c r="P857" s="57"/>
    </row>
    <row r="858">
      <c r="M858" s="57"/>
      <c r="N858" s="57"/>
      <c r="O858" s="57"/>
      <c r="P858" s="57"/>
    </row>
    <row r="859">
      <c r="M859" s="57"/>
      <c r="N859" s="57"/>
      <c r="O859" s="57"/>
      <c r="P859" s="57"/>
    </row>
    <row r="860">
      <c r="M860" s="57"/>
      <c r="N860" s="57"/>
      <c r="O860" s="57"/>
      <c r="P860" s="57"/>
    </row>
    <row r="861">
      <c r="M861" s="57"/>
      <c r="N861" s="57"/>
      <c r="O861" s="57"/>
      <c r="P861" s="57"/>
    </row>
    <row r="862">
      <c r="M862" s="57"/>
      <c r="N862" s="57"/>
      <c r="O862" s="57"/>
      <c r="P862" s="57"/>
    </row>
    <row r="863">
      <c r="M863" s="57"/>
      <c r="N863" s="57"/>
      <c r="O863" s="57"/>
      <c r="P863" s="57"/>
    </row>
    <row r="864">
      <c r="M864" s="57"/>
      <c r="N864" s="57"/>
      <c r="O864" s="57"/>
      <c r="P864" s="57"/>
    </row>
    <row r="865">
      <c r="M865" s="57"/>
      <c r="N865" s="57"/>
      <c r="O865" s="57"/>
      <c r="P865" s="57"/>
    </row>
    <row r="866">
      <c r="M866" s="57"/>
      <c r="N866" s="57"/>
      <c r="O866" s="57"/>
      <c r="P866" s="57"/>
    </row>
    <row r="867">
      <c r="M867" s="57"/>
      <c r="N867" s="57"/>
      <c r="O867" s="57"/>
      <c r="P867" s="57"/>
    </row>
    <row r="868">
      <c r="M868" s="57"/>
      <c r="N868" s="57"/>
      <c r="O868" s="57"/>
      <c r="P868" s="57"/>
    </row>
    <row r="869">
      <c r="M869" s="57"/>
      <c r="N869" s="57"/>
      <c r="O869" s="57"/>
      <c r="P869" s="57"/>
    </row>
    <row r="870">
      <c r="M870" s="57"/>
      <c r="N870" s="57"/>
      <c r="O870" s="57"/>
      <c r="P870" s="57"/>
    </row>
    <row r="871">
      <c r="M871" s="57"/>
      <c r="N871" s="57"/>
      <c r="O871" s="57"/>
      <c r="P871" s="57"/>
    </row>
    <row r="872">
      <c r="M872" s="57"/>
      <c r="N872" s="57"/>
      <c r="O872" s="57"/>
      <c r="P872" s="57"/>
    </row>
    <row r="873">
      <c r="M873" s="57"/>
      <c r="N873" s="57"/>
      <c r="O873" s="57"/>
      <c r="P873" s="57"/>
    </row>
    <row r="874">
      <c r="M874" s="57"/>
      <c r="N874" s="57"/>
      <c r="O874" s="57"/>
      <c r="P874" s="57"/>
    </row>
    <row r="875">
      <c r="M875" s="57"/>
      <c r="N875" s="57"/>
      <c r="O875" s="57"/>
      <c r="P875" s="57"/>
    </row>
    <row r="876">
      <c r="M876" s="57"/>
      <c r="N876" s="57"/>
      <c r="O876" s="57"/>
      <c r="P876" s="57"/>
    </row>
    <row r="877">
      <c r="M877" s="57"/>
      <c r="N877" s="57"/>
      <c r="O877" s="57"/>
      <c r="P877" s="57"/>
    </row>
    <row r="878">
      <c r="M878" s="57"/>
      <c r="N878" s="57"/>
      <c r="O878" s="57"/>
      <c r="P878" s="57"/>
    </row>
    <row r="879">
      <c r="M879" s="57"/>
      <c r="N879" s="57"/>
      <c r="O879" s="57"/>
      <c r="P879" s="57"/>
    </row>
    <row r="880">
      <c r="M880" s="57"/>
      <c r="N880" s="57"/>
      <c r="O880" s="57"/>
      <c r="P880" s="57"/>
    </row>
    <row r="881">
      <c r="M881" s="57"/>
      <c r="N881" s="57"/>
      <c r="O881" s="57"/>
      <c r="P881" s="57"/>
    </row>
    <row r="882">
      <c r="M882" s="57"/>
      <c r="N882" s="57"/>
      <c r="O882" s="57"/>
      <c r="P882" s="57"/>
    </row>
    <row r="883">
      <c r="M883" s="57"/>
      <c r="N883" s="57"/>
      <c r="O883" s="57"/>
      <c r="P883" s="57"/>
    </row>
    <row r="884">
      <c r="M884" s="57"/>
      <c r="N884" s="57"/>
      <c r="O884" s="57"/>
      <c r="P884" s="57"/>
    </row>
    <row r="885">
      <c r="M885" s="57"/>
      <c r="N885" s="57"/>
      <c r="O885" s="57"/>
      <c r="P885" s="57"/>
    </row>
    <row r="886">
      <c r="M886" s="57"/>
      <c r="N886" s="57"/>
      <c r="O886" s="57"/>
      <c r="P886" s="57"/>
    </row>
    <row r="887">
      <c r="M887" s="57"/>
      <c r="N887" s="57"/>
      <c r="O887" s="57"/>
      <c r="P887" s="57"/>
    </row>
    <row r="888">
      <c r="M888" s="57"/>
      <c r="N888" s="57"/>
      <c r="O888" s="57"/>
      <c r="P888" s="57"/>
    </row>
    <row r="889">
      <c r="M889" s="57"/>
      <c r="N889" s="57"/>
      <c r="O889" s="57"/>
      <c r="P889" s="57"/>
    </row>
    <row r="890">
      <c r="M890" s="57"/>
      <c r="N890" s="57"/>
      <c r="O890" s="57"/>
      <c r="P890" s="57"/>
    </row>
    <row r="891">
      <c r="M891" s="57"/>
      <c r="N891" s="57"/>
      <c r="O891" s="57"/>
      <c r="P891" s="57"/>
    </row>
    <row r="892">
      <c r="M892" s="57"/>
      <c r="N892" s="57"/>
      <c r="O892" s="57"/>
      <c r="P892" s="57"/>
    </row>
    <row r="893">
      <c r="M893" s="57"/>
      <c r="N893" s="57"/>
      <c r="O893" s="57"/>
      <c r="P893" s="57"/>
    </row>
    <row r="894">
      <c r="M894" s="57"/>
      <c r="N894" s="57"/>
      <c r="O894" s="57"/>
      <c r="P894" s="57"/>
    </row>
    <row r="895">
      <c r="M895" s="57"/>
      <c r="N895" s="57"/>
      <c r="O895" s="57"/>
      <c r="P895" s="57"/>
    </row>
    <row r="896">
      <c r="M896" s="57"/>
      <c r="N896" s="57"/>
      <c r="O896" s="57"/>
      <c r="P896" s="57"/>
    </row>
    <row r="897">
      <c r="M897" s="57"/>
      <c r="N897" s="57"/>
      <c r="O897" s="57"/>
      <c r="P897" s="57"/>
    </row>
    <row r="898">
      <c r="M898" s="57"/>
      <c r="N898" s="57"/>
      <c r="O898" s="57"/>
      <c r="P898" s="57"/>
    </row>
    <row r="899">
      <c r="M899" s="57"/>
      <c r="N899" s="57"/>
      <c r="O899" s="57"/>
      <c r="P899" s="57"/>
    </row>
    <row r="900">
      <c r="M900" s="57"/>
      <c r="N900" s="57"/>
      <c r="O900" s="57"/>
      <c r="P900" s="57"/>
    </row>
    <row r="901">
      <c r="M901" s="57"/>
      <c r="N901" s="57"/>
      <c r="O901" s="57"/>
      <c r="P901" s="57"/>
    </row>
    <row r="902">
      <c r="M902" s="57"/>
      <c r="N902" s="57"/>
      <c r="O902" s="57"/>
      <c r="P902" s="57"/>
    </row>
    <row r="903">
      <c r="M903" s="57"/>
      <c r="N903" s="57"/>
      <c r="O903" s="57"/>
      <c r="P903" s="57"/>
    </row>
    <row r="904">
      <c r="M904" s="57"/>
      <c r="N904" s="57"/>
      <c r="O904" s="57"/>
      <c r="P904" s="57"/>
    </row>
    <row r="905">
      <c r="M905" s="57"/>
      <c r="N905" s="57"/>
      <c r="O905" s="57"/>
      <c r="P905" s="57"/>
    </row>
    <row r="906">
      <c r="M906" s="57"/>
      <c r="N906" s="57"/>
      <c r="O906" s="57"/>
      <c r="P906" s="57"/>
    </row>
    <row r="907">
      <c r="M907" s="57"/>
      <c r="N907" s="57"/>
      <c r="O907" s="57"/>
      <c r="P907" s="57"/>
    </row>
    <row r="908">
      <c r="M908" s="57"/>
      <c r="N908" s="57"/>
      <c r="O908" s="57"/>
      <c r="P908" s="57"/>
    </row>
    <row r="909">
      <c r="M909" s="57"/>
      <c r="N909" s="57"/>
      <c r="O909" s="57"/>
      <c r="P909" s="57"/>
    </row>
    <row r="910">
      <c r="M910" s="57"/>
      <c r="N910" s="57"/>
      <c r="O910" s="57"/>
      <c r="P910" s="57"/>
    </row>
    <row r="911">
      <c r="M911" s="57"/>
      <c r="N911" s="57"/>
      <c r="O911" s="57"/>
      <c r="P911" s="57"/>
    </row>
    <row r="912">
      <c r="M912" s="57"/>
      <c r="N912" s="57"/>
      <c r="O912" s="57"/>
      <c r="P912" s="57"/>
    </row>
    <row r="913">
      <c r="M913" s="57"/>
      <c r="N913" s="57"/>
      <c r="O913" s="57"/>
      <c r="P913" s="57"/>
    </row>
    <row r="914">
      <c r="M914" s="57"/>
      <c r="N914" s="57"/>
      <c r="O914" s="57"/>
      <c r="P914" s="57"/>
    </row>
    <row r="915">
      <c r="M915" s="57"/>
      <c r="N915" s="57"/>
      <c r="O915" s="57"/>
      <c r="P915" s="57"/>
    </row>
    <row r="916">
      <c r="M916" s="57"/>
      <c r="N916" s="57"/>
      <c r="O916" s="57"/>
      <c r="P916" s="57"/>
    </row>
    <row r="917">
      <c r="M917" s="57"/>
      <c r="N917" s="57"/>
      <c r="O917" s="57"/>
      <c r="P917" s="57"/>
    </row>
    <row r="918">
      <c r="M918" s="57"/>
      <c r="N918" s="57"/>
      <c r="O918" s="57"/>
      <c r="P918" s="57"/>
    </row>
    <row r="919">
      <c r="M919" s="57"/>
      <c r="N919" s="57"/>
      <c r="O919" s="57"/>
      <c r="P919" s="57"/>
    </row>
    <row r="920">
      <c r="M920" s="57"/>
      <c r="N920" s="57"/>
      <c r="O920" s="57"/>
      <c r="P920" s="57"/>
    </row>
    <row r="921">
      <c r="M921" s="57"/>
      <c r="N921" s="57"/>
      <c r="O921" s="57"/>
      <c r="P921" s="57"/>
    </row>
    <row r="922">
      <c r="M922" s="57"/>
      <c r="N922" s="57"/>
      <c r="O922" s="57"/>
      <c r="P922" s="57"/>
    </row>
    <row r="923">
      <c r="M923" s="57"/>
      <c r="N923" s="57"/>
      <c r="O923" s="57"/>
      <c r="P923" s="57"/>
    </row>
    <row r="924">
      <c r="M924" s="57"/>
      <c r="N924" s="57"/>
      <c r="O924" s="57"/>
      <c r="P924" s="57"/>
    </row>
    <row r="925">
      <c r="M925" s="57"/>
      <c r="N925" s="57"/>
      <c r="O925" s="57"/>
      <c r="P925" s="57"/>
    </row>
    <row r="926">
      <c r="M926" s="57"/>
      <c r="N926" s="57"/>
      <c r="O926" s="57"/>
      <c r="P926" s="57"/>
    </row>
    <row r="927">
      <c r="M927" s="57"/>
      <c r="N927" s="57"/>
      <c r="O927" s="57"/>
      <c r="P927" s="57"/>
    </row>
    <row r="928">
      <c r="M928" s="57"/>
      <c r="N928" s="57"/>
      <c r="O928" s="57"/>
      <c r="P928" s="57"/>
    </row>
    <row r="929">
      <c r="M929" s="57"/>
      <c r="N929" s="57"/>
      <c r="O929" s="57"/>
      <c r="P929" s="57"/>
    </row>
    <row r="930">
      <c r="M930" s="57"/>
      <c r="N930" s="57"/>
      <c r="O930" s="57"/>
      <c r="P930" s="57"/>
    </row>
    <row r="931">
      <c r="M931" s="57"/>
      <c r="N931" s="57"/>
      <c r="O931" s="57"/>
      <c r="P931" s="57"/>
    </row>
    <row r="932">
      <c r="M932" s="57"/>
      <c r="N932" s="57"/>
      <c r="O932" s="57"/>
      <c r="P932" s="57"/>
    </row>
    <row r="933">
      <c r="M933" s="57"/>
      <c r="N933" s="57"/>
      <c r="O933" s="57"/>
      <c r="P933" s="57"/>
    </row>
    <row r="934">
      <c r="M934" s="57"/>
      <c r="N934" s="57"/>
      <c r="O934" s="57"/>
      <c r="P934" s="57"/>
    </row>
    <row r="935">
      <c r="M935" s="57"/>
      <c r="N935" s="57"/>
      <c r="O935" s="57"/>
      <c r="P935" s="57"/>
    </row>
    <row r="936">
      <c r="M936" s="57"/>
      <c r="N936" s="57"/>
      <c r="O936" s="57"/>
      <c r="P936" s="57"/>
    </row>
    <row r="937">
      <c r="M937" s="57"/>
      <c r="N937" s="57"/>
      <c r="O937" s="57"/>
      <c r="P937" s="57"/>
    </row>
    <row r="938">
      <c r="M938" s="57"/>
      <c r="N938" s="57"/>
      <c r="O938" s="57"/>
      <c r="P938" s="57"/>
    </row>
    <row r="939">
      <c r="M939" s="57"/>
      <c r="N939" s="57"/>
      <c r="O939" s="57"/>
      <c r="P939" s="57"/>
    </row>
    <row r="940">
      <c r="M940" s="57"/>
      <c r="N940" s="57"/>
      <c r="O940" s="57"/>
      <c r="P940" s="57"/>
    </row>
    <row r="941">
      <c r="M941" s="57"/>
      <c r="N941" s="57"/>
      <c r="O941" s="57"/>
      <c r="P941" s="57"/>
    </row>
    <row r="942">
      <c r="M942" s="57"/>
      <c r="N942" s="57"/>
      <c r="O942" s="57"/>
      <c r="P942" s="57"/>
    </row>
    <row r="943">
      <c r="M943" s="57"/>
      <c r="N943" s="57"/>
      <c r="O943" s="57"/>
      <c r="P943" s="57"/>
    </row>
    <row r="944">
      <c r="M944" s="57"/>
      <c r="N944" s="57"/>
      <c r="O944" s="57"/>
      <c r="P944" s="57"/>
    </row>
    <row r="945">
      <c r="M945" s="57"/>
      <c r="N945" s="57"/>
      <c r="O945" s="57"/>
      <c r="P945" s="57"/>
    </row>
    <row r="946">
      <c r="M946" s="57"/>
      <c r="N946" s="57"/>
      <c r="O946" s="57"/>
      <c r="P946" s="57"/>
    </row>
    <row r="947">
      <c r="M947" s="57"/>
      <c r="N947" s="57"/>
      <c r="O947" s="57"/>
      <c r="P947" s="57"/>
    </row>
    <row r="948">
      <c r="M948" s="57"/>
      <c r="N948" s="57"/>
      <c r="O948" s="57"/>
      <c r="P948" s="57"/>
    </row>
    <row r="949">
      <c r="M949" s="57"/>
      <c r="N949" s="57"/>
      <c r="O949" s="57"/>
      <c r="P949" s="57"/>
    </row>
    <row r="950">
      <c r="M950" s="57"/>
      <c r="N950" s="57"/>
      <c r="O950" s="57"/>
      <c r="P950" s="57"/>
    </row>
    <row r="951">
      <c r="M951" s="57"/>
      <c r="N951" s="57"/>
      <c r="O951" s="57"/>
      <c r="P951" s="57"/>
    </row>
    <row r="952">
      <c r="M952" s="57"/>
      <c r="N952" s="57"/>
      <c r="O952" s="57"/>
      <c r="P952" s="57"/>
    </row>
    <row r="953">
      <c r="M953" s="57"/>
      <c r="N953" s="57"/>
      <c r="O953" s="57"/>
      <c r="P953" s="57"/>
    </row>
    <row r="954">
      <c r="M954" s="57"/>
      <c r="N954" s="57"/>
      <c r="O954" s="57"/>
      <c r="P954" s="57"/>
    </row>
    <row r="955">
      <c r="M955" s="57"/>
      <c r="N955" s="57"/>
      <c r="O955" s="57"/>
      <c r="P955" s="57"/>
    </row>
    <row r="956">
      <c r="M956" s="57"/>
      <c r="N956" s="57"/>
      <c r="O956" s="57"/>
      <c r="P956" s="57"/>
    </row>
    <row r="957">
      <c r="M957" s="57"/>
      <c r="N957" s="57"/>
      <c r="O957" s="57"/>
      <c r="P957" s="57"/>
    </row>
    <row r="958">
      <c r="M958" s="57"/>
      <c r="N958" s="57"/>
      <c r="O958" s="57"/>
      <c r="P958" s="57"/>
    </row>
    <row r="959">
      <c r="M959" s="57"/>
      <c r="N959" s="57"/>
      <c r="O959" s="57"/>
      <c r="P959" s="57"/>
    </row>
    <row r="960">
      <c r="M960" s="57"/>
      <c r="N960" s="57"/>
      <c r="O960" s="57"/>
      <c r="P960" s="57"/>
    </row>
    <row r="961">
      <c r="M961" s="57"/>
      <c r="N961" s="57"/>
      <c r="O961" s="57"/>
      <c r="P961" s="57"/>
    </row>
    <row r="962">
      <c r="M962" s="57"/>
      <c r="N962" s="57"/>
      <c r="O962" s="57"/>
      <c r="P962" s="57"/>
    </row>
    <row r="963">
      <c r="M963" s="57"/>
      <c r="N963" s="57"/>
      <c r="O963" s="57"/>
      <c r="P963" s="57"/>
    </row>
    <row r="964">
      <c r="M964" s="57"/>
      <c r="N964" s="57"/>
      <c r="O964" s="57"/>
      <c r="P964" s="57"/>
    </row>
    <row r="965">
      <c r="M965" s="57"/>
      <c r="N965" s="57"/>
      <c r="O965" s="57"/>
      <c r="P965" s="57"/>
    </row>
    <row r="966">
      <c r="M966" s="57"/>
      <c r="N966" s="57"/>
      <c r="O966" s="57"/>
      <c r="P966" s="57"/>
    </row>
    <row r="967">
      <c r="M967" s="57"/>
      <c r="N967" s="57"/>
      <c r="O967" s="57"/>
      <c r="P967" s="57"/>
    </row>
    <row r="968">
      <c r="M968" s="57"/>
      <c r="N968" s="57"/>
      <c r="O968" s="57"/>
      <c r="P968" s="57"/>
    </row>
    <row r="969">
      <c r="M969" s="57"/>
      <c r="N969" s="57"/>
      <c r="O969" s="57"/>
      <c r="P969" s="57"/>
    </row>
    <row r="970">
      <c r="M970" s="57"/>
      <c r="N970" s="57"/>
      <c r="O970" s="57"/>
      <c r="P970" s="57"/>
    </row>
    <row r="971">
      <c r="M971" s="57"/>
      <c r="N971" s="57"/>
      <c r="O971" s="57"/>
      <c r="P971" s="57"/>
    </row>
    <row r="972">
      <c r="M972" s="57"/>
      <c r="N972" s="57"/>
      <c r="O972" s="57"/>
      <c r="P972" s="57"/>
    </row>
    <row r="973">
      <c r="M973" s="57"/>
      <c r="N973" s="57"/>
      <c r="O973" s="57"/>
      <c r="P973" s="57"/>
    </row>
    <row r="974">
      <c r="M974" s="57"/>
      <c r="N974" s="57"/>
      <c r="O974" s="57"/>
      <c r="P974" s="57"/>
    </row>
    <row r="975">
      <c r="M975" s="57"/>
      <c r="N975" s="57"/>
      <c r="O975" s="57"/>
      <c r="P975" s="57"/>
    </row>
    <row r="976">
      <c r="M976" s="57"/>
      <c r="N976" s="57"/>
      <c r="O976" s="57"/>
      <c r="P976" s="57"/>
    </row>
    <row r="977">
      <c r="M977" s="57"/>
      <c r="N977" s="57"/>
      <c r="O977" s="57"/>
      <c r="P977" s="57"/>
    </row>
    <row r="978">
      <c r="M978" s="57"/>
      <c r="N978" s="57"/>
      <c r="O978" s="57"/>
      <c r="P978" s="57"/>
    </row>
    <row r="979">
      <c r="M979" s="57"/>
      <c r="N979" s="57"/>
      <c r="O979" s="57"/>
      <c r="P979" s="57"/>
    </row>
    <row r="980">
      <c r="M980" s="57"/>
      <c r="N980" s="57"/>
      <c r="O980" s="57"/>
      <c r="P980" s="57"/>
    </row>
    <row r="981">
      <c r="M981" s="57"/>
      <c r="N981" s="57"/>
      <c r="O981" s="57"/>
      <c r="P981" s="57"/>
    </row>
    <row r="982">
      <c r="M982" s="57"/>
      <c r="N982" s="57"/>
      <c r="O982" s="57"/>
      <c r="P982" s="57"/>
    </row>
    <row r="983">
      <c r="M983" s="57"/>
      <c r="N983" s="57"/>
      <c r="O983" s="57"/>
      <c r="P983" s="57"/>
    </row>
    <row r="984">
      <c r="M984" s="57"/>
      <c r="N984" s="57"/>
      <c r="O984" s="57"/>
      <c r="P984" s="57"/>
    </row>
    <row r="985">
      <c r="M985" s="57"/>
      <c r="N985" s="57"/>
      <c r="O985" s="57"/>
      <c r="P985" s="57"/>
    </row>
    <row r="986">
      <c r="M986" s="57"/>
      <c r="N986" s="57"/>
      <c r="O986" s="57"/>
      <c r="P986" s="57"/>
    </row>
    <row r="987">
      <c r="M987" s="57"/>
      <c r="N987" s="57"/>
      <c r="O987" s="57"/>
      <c r="P987" s="57"/>
    </row>
    <row r="988">
      <c r="M988" s="57"/>
      <c r="N988" s="57"/>
      <c r="O988" s="57"/>
      <c r="P988" s="57"/>
    </row>
    <row r="989">
      <c r="M989" s="57"/>
      <c r="N989" s="57"/>
      <c r="O989" s="57"/>
      <c r="P989" s="57"/>
    </row>
    <row r="990">
      <c r="M990" s="57"/>
      <c r="N990" s="57"/>
      <c r="O990" s="57"/>
      <c r="P990" s="57"/>
    </row>
    <row r="991">
      <c r="M991" s="57"/>
      <c r="N991" s="57"/>
      <c r="O991" s="57"/>
      <c r="P991" s="57"/>
    </row>
    <row r="992">
      <c r="M992" s="57"/>
      <c r="N992" s="57"/>
      <c r="O992" s="57"/>
      <c r="P992" s="57"/>
    </row>
    <row r="993">
      <c r="M993" s="57"/>
      <c r="N993" s="57"/>
      <c r="O993" s="57"/>
      <c r="P993" s="57"/>
    </row>
    <row r="994">
      <c r="M994" s="57"/>
      <c r="N994" s="57"/>
      <c r="O994" s="57"/>
      <c r="P994" s="57"/>
    </row>
    <row r="995">
      <c r="M995" s="57"/>
      <c r="N995" s="57"/>
      <c r="O995" s="57"/>
      <c r="P995" s="57"/>
    </row>
    <row r="996">
      <c r="M996" s="57"/>
      <c r="N996" s="57"/>
      <c r="O996" s="57"/>
      <c r="P996" s="57"/>
    </row>
    <row r="997">
      <c r="M997" s="57"/>
      <c r="N997" s="57"/>
      <c r="O997" s="57"/>
      <c r="P997" s="57"/>
    </row>
    <row r="998">
      <c r="M998" s="57"/>
      <c r="N998" s="57"/>
      <c r="O998" s="57"/>
      <c r="P998" s="57"/>
    </row>
    <row r="999">
      <c r="M999" s="57"/>
      <c r="N999" s="57"/>
      <c r="O999" s="57"/>
      <c r="P999" s="57"/>
    </row>
    <row r="1000">
      <c r="M1000" s="57"/>
      <c r="N1000" s="57"/>
      <c r="O1000" s="57"/>
      <c r="P1000" s="5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75"/>
    <col customWidth="1" min="6" max="6" width="19.13"/>
    <col customWidth="1" min="14" max="14" width="22.63"/>
  </cols>
  <sheetData>
    <row r="1">
      <c r="A1" s="141" t="s">
        <v>602</v>
      </c>
      <c r="B1" s="142" t="s">
        <v>603</v>
      </c>
      <c r="C1" s="143">
        <f>Input!B2</f>
        <v>360000</v>
      </c>
      <c r="D1" s="53"/>
      <c r="E1" s="53"/>
      <c r="F1" s="53"/>
    </row>
    <row r="2">
      <c r="B2" s="144" t="s">
        <v>584</v>
      </c>
      <c r="C2" s="145">
        <f>Input!C2</f>
        <v>146032</v>
      </c>
      <c r="D2" s="53"/>
      <c r="E2" s="53"/>
      <c r="F2" s="53"/>
    </row>
    <row r="3">
      <c r="B3" s="144" t="s">
        <v>604</v>
      </c>
      <c r="C3" s="145">
        <f>Input!B2-Input!C2</f>
        <v>213968</v>
      </c>
      <c r="D3" s="53"/>
      <c r="E3" s="53"/>
      <c r="F3" s="53"/>
    </row>
    <row r="4">
      <c r="B4" s="146" t="s">
        <v>605</v>
      </c>
      <c r="C4" s="147">
        <f>Input!D2</f>
        <v>15</v>
      </c>
      <c r="D4" s="53"/>
      <c r="E4" s="53"/>
      <c r="F4" s="53"/>
    </row>
    <row r="5">
      <c r="B5" s="148"/>
      <c r="C5" s="53"/>
      <c r="D5" s="53"/>
      <c r="E5" s="53"/>
      <c r="F5" s="53"/>
    </row>
    <row r="6">
      <c r="B6" s="142" t="s">
        <v>606</v>
      </c>
      <c r="C6" s="149" t="s">
        <v>8</v>
      </c>
      <c r="D6" s="149" t="s">
        <v>607</v>
      </c>
      <c r="E6" s="150" t="s">
        <v>608</v>
      </c>
      <c r="F6" s="151"/>
    </row>
    <row r="7">
      <c r="B7" s="144" t="s">
        <v>609</v>
      </c>
      <c r="C7" s="53">
        <f>Input!F2</f>
        <v>4</v>
      </c>
      <c r="D7" s="53">
        <f>Input!E2</f>
        <v>8</v>
      </c>
      <c r="E7" s="145">
        <f>Input!G2</f>
        <v>4</v>
      </c>
      <c r="F7" s="53"/>
    </row>
    <row r="8">
      <c r="B8" s="146" t="s">
        <v>2</v>
      </c>
      <c r="C8" s="152">
        <f>Input!I2</f>
        <v>7</v>
      </c>
      <c r="D8" s="152">
        <f>Input!H2</f>
        <v>16</v>
      </c>
      <c r="E8" s="153">
        <f>Input!J2</f>
        <v>9</v>
      </c>
      <c r="F8" s="53"/>
    </row>
    <row r="9">
      <c r="B9" s="148"/>
      <c r="C9" s="53"/>
      <c r="D9" s="53"/>
      <c r="E9" s="53"/>
      <c r="F9" s="53"/>
    </row>
    <row r="10">
      <c r="B10" s="142" t="s">
        <v>610</v>
      </c>
      <c r="C10" s="143">
        <f>(Input!G2 * Input!Q2) + (Input!J2 * Input!R2) + Input!C2
</f>
        <v>251348.1389</v>
      </c>
      <c r="D10" s="53"/>
      <c r="E10" s="53"/>
      <c r="F10" s="53"/>
    </row>
    <row r="11">
      <c r="B11" s="144" t="s">
        <v>611</v>
      </c>
      <c r="C11" s="145">
        <f>Input!B2 - C10
</f>
        <v>108651.8611</v>
      </c>
      <c r="D11" s="53"/>
      <c r="E11" s="53"/>
      <c r="F11" s="53"/>
    </row>
    <row r="12">
      <c r="B12" s="144" t="s">
        <v>612</v>
      </c>
      <c r="C12" s="145">
        <f>IF(C11&gt;0, C11 * Input!S2, 0)
</f>
        <v>94478.48892</v>
      </c>
      <c r="D12" s="53"/>
      <c r="E12" s="53"/>
      <c r="F12" s="53"/>
    </row>
    <row r="13">
      <c r="B13" s="144" t="s">
        <v>613</v>
      </c>
      <c r="C13" s="145">
        <f>IF(C11&gt;0, C11 * Input!T2, 0)
</f>
        <v>14173.37219</v>
      </c>
      <c r="D13" s="53"/>
      <c r="E13" s="53"/>
      <c r="F13" s="53"/>
    </row>
    <row r="14">
      <c r="B14" s="144" t="s">
        <v>614</v>
      </c>
      <c r="C14" s="145">
        <f>IF(Input!G2&gt;0, (C12 + (Input!G2 * Input!Q2)) / Input!G2, 0)
</f>
        <v>44629.84445</v>
      </c>
      <c r="D14" s="53"/>
      <c r="E14" s="53"/>
      <c r="F14" s="53"/>
    </row>
    <row r="15">
      <c r="B15" s="144" t="s">
        <v>615</v>
      </c>
      <c r="C15" s="145">
        <f>IF(Input!J2&gt;0, (C13 + (Input!J2 * Input!R2)) / Input!J2, 0)
</f>
        <v>3938.735799</v>
      </c>
      <c r="D15" s="53"/>
      <c r="E15" s="53"/>
      <c r="F15" s="53"/>
    </row>
    <row r="16">
      <c r="B16" s="146" t="s">
        <v>616</v>
      </c>
      <c r="C16" s="153">
        <f>(Input!C2/Input!B2)*100</f>
        <v>40.56444444</v>
      </c>
      <c r="D16" s="53"/>
      <c r="E16" s="53"/>
      <c r="F16" s="53"/>
    </row>
    <row r="17">
      <c r="A17" s="140"/>
      <c r="B17" s="140"/>
      <c r="C17" s="53"/>
      <c r="D17" s="53"/>
      <c r="E17" s="53"/>
      <c r="F17" s="53"/>
    </row>
    <row r="18">
      <c r="A18" s="148"/>
      <c r="B18" s="148"/>
      <c r="C18" s="53"/>
      <c r="D18" s="53"/>
      <c r="E18" s="53"/>
      <c r="F18" s="53"/>
    </row>
    <row r="19">
      <c r="A19" s="148"/>
      <c r="B19" s="148"/>
      <c r="C19" s="53"/>
      <c r="D19" s="53"/>
      <c r="E19" s="53"/>
      <c r="F19" s="53"/>
    </row>
    <row r="20">
      <c r="A20" s="148"/>
      <c r="B20" s="148"/>
      <c r="C20" s="53"/>
      <c r="D20" s="53"/>
      <c r="E20" s="53"/>
      <c r="F20" s="53"/>
    </row>
    <row r="21">
      <c r="A21" s="148"/>
      <c r="B21" s="148"/>
      <c r="C21" s="53"/>
      <c r="D21" s="53"/>
      <c r="E21" s="53"/>
      <c r="F21" s="53"/>
    </row>
    <row r="22">
      <c r="A22" s="148"/>
      <c r="B22" s="148"/>
      <c r="C22" s="53"/>
      <c r="D22" s="53"/>
      <c r="E22" s="53"/>
      <c r="F22" s="53"/>
    </row>
    <row r="23">
      <c r="A23" s="148"/>
      <c r="B23" s="148"/>
      <c r="C23" s="53"/>
      <c r="D23" s="53"/>
      <c r="E23" s="53"/>
      <c r="F23" s="53"/>
    </row>
    <row r="24">
      <c r="A24" s="148"/>
      <c r="B24" s="148"/>
      <c r="C24" s="53"/>
      <c r="D24" s="53"/>
      <c r="E24" s="53"/>
      <c r="F24" s="53"/>
    </row>
    <row r="25">
      <c r="A25" s="148"/>
      <c r="B25" s="148"/>
      <c r="C25" s="53"/>
      <c r="D25" s="53"/>
      <c r="E25" s="53"/>
      <c r="F25" s="53"/>
    </row>
    <row r="26">
      <c r="A26" s="148"/>
      <c r="B26" s="148"/>
      <c r="C26" s="53"/>
      <c r="D26" s="53"/>
      <c r="E26" s="53"/>
      <c r="F26" s="53"/>
    </row>
    <row r="27">
      <c r="A27" s="148"/>
      <c r="B27" s="148"/>
      <c r="C27" s="53"/>
      <c r="D27" s="53"/>
      <c r="E27" s="53"/>
      <c r="F27" s="53"/>
    </row>
    <row r="28">
      <c r="A28" s="148"/>
      <c r="B28" s="148"/>
      <c r="C28" s="53"/>
      <c r="D28" s="53"/>
      <c r="E28" s="53"/>
      <c r="F28" s="53"/>
    </row>
    <row r="29">
      <c r="A29" s="148"/>
      <c r="B29" s="148"/>
      <c r="C29" s="53"/>
      <c r="D29" s="53"/>
      <c r="E29" s="53"/>
      <c r="F29" s="53"/>
    </row>
    <row r="30">
      <c r="A30" s="148"/>
      <c r="B30" s="148"/>
      <c r="C30" s="53"/>
      <c r="D30" s="53"/>
      <c r="E30" s="53"/>
      <c r="F30" s="53"/>
    </row>
    <row r="31">
      <c r="A31" s="148"/>
      <c r="B31" s="148"/>
      <c r="C31" s="53"/>
      <c r="D31" s="53"/>
      <c r="E31" s="53"/>
      <c r="F31" s="53"/>
    </row>
    <row r="32">
      <c r="A32" s="148"/>
      <c r="B32" s="148"/>
      <c r="C32" s="53"/>
      <c r="D32" s="53"/>
      <c r="E32" s="53"/>
      <c r="F32" s="53"/>
    </row>
    <row r="33">
      <c r="A33" s="148"/>
      <c r="B33" s="148"/>
      <c r="C33" s="53"/>
      <c r="D33" s="53"/>
      <c r="E33" s="53"/>
      <c r="F33" s="53"/>
    </row>
    <row r="34">
      <c r="A34" s="148"/>
      <c r="B34" s="148"/>
      <c r="C34" s="53"/>
      <c r="D34" s="53"/>
      <c r="E34" s="53"/>
      <c r="F34" s="53"/>
    </row>
    <row r="35">
      <c r="A35" s="148"/>
      <c r="B35" s="148"/>
      <c r="C35" s="53"/>
      <c r="D35" s="53"/>
      <c r="E35" s="53"/>
      <c r="F35" s="53"/>
    </row>
    <row r="36">
      <c r="A36" s="148"/>
      <c r="B36" s="148"/>
      <c r="C36" s="53"/>
      <c r="D36" s="53"/>
      <c r="E36" s="53"/>
      <c r="F36" s="53"/>
    </row>
    <row r="37">
      <c r="A37" s="148"/>
      <c r="B37" s="148"/>
      <c r="C37" s="53"/>
      <c r="D37" s="53"/>
      <c r="E37" s="53"/>
      <c r="F37" s="53"/>
    </row>
    <row r="38">
      <c r="A38" s="148"/>
      <c r="B38" s="148"/>
      <c r="C38" s="53"/>
      <c r="D38" s="53"/>
      <c r="E38" s="53"/>
      <c r="F38" s="53"/>
    </row>
    <row r="39">
      <c r="A39" s="148"/>
      <c r="B39" s="148"/>
      <c r="C39" s="53"/>
      <c r="D39" s="53"/>
      <c r="E39" s="53"/>
      <c r="F39" s="53"/>
    </row>
    <row r="40">
      <c r="A40" s="148"/>
      <c r="B40" s="148"/>
      <c r="C40" s="53"/>
      <c r="D40" s="53"/>
      <c r="E40" s="53"/>
      <c r="F40" s="53"/>
    </row>
    <row r="41">
      <c r="A41" s="148"/>
      <c r="B41" s="148"/>
      <c r="C41" s="53"/>
      <c r="D41" s="53"/>
      <c r="E41" s="53"/>
      <c r="F41" s="53"/>
    </row>
    <row r="42">
      <c r="A42" s="148"/>
      <c r="B42" s="148"/>
      <c r="C42" s="53"/>
      <c r="D42" s="53"/>
      <c r="E42" s="53"/>
      <c r="F42" s="53"/>
    </row>
    <row r="43">
      <c r="A43" s="148"/>
      <c r="B43" s="148"/>
      <c r="C43" s="53"/>
      <c r="D43" s="53"/>
      <c r="E43" s="53"/>
      <c r="F43" s="53"/>
    </row>
    <row r="44">
      <c r="A44" s="148"/>
      <c r="B44" s="148"/>
      <c r="C44" s="53"/>
      <c r="D44" s="53"/>
      <c r="E44" s="53"/>
      <c r="F44" s="53"/>
    </row>
    <row r="45">
      <c r="A45" s="148"/>
      <c r="B45" s="148"/>
      <c r="C45" s="53"/>
      <c r="D45" s="53"/>
      <c r="E45" s="53"/>
      <c r="F45" s="53"/>
    </row>
    <row r="46">
      <c r="A46" s="148"/>
      <c r="B46" s="148"/>
      <c r="C46" s="53"/>
      <c r="D46" s="53"/>
      <c r="E46" s="53"/>
      <c r="F46" s="53"/>
    </row>
    <row r="47">
      <c r="A47" s="148"/>
      <c r="B47" s="148"/>
      <c r="C47" s="53"/>
      <c r="D47" s="53"/>
      <c r="E47" s="53"/>
      <c r="F47" s="53"/>
    </row>
    <row r="48">
      <c r="A48" s="148"/>
      <c r="B48" s="148"/>
      <c r="C48" s="53"/>
      <c r="D48" s="53"/>
      <c r="E48" s="53"/>
      <c r="F48" s="53"/>
    </row>
    <row r="49">
      <c r="A49" s="148"/>
      <c r="B49" s="148"/>
      <c r="C49" s="53"/>
      <c r="D49" s="53"/>
      <c r="E49" s="53"/>
      <c r="F49" s="53"/>
    </row>
    <row r="50">
      <c r="A50" s="148"/>
      <c r="B50" s="148"/>
      <c r="C50" s="53"/>
      <c r="D50" s="53"/>
      <c r="E50" s="53"/>
      <c r="F50" s="53"/>
    </row>
    <row r="51">
      <c r="A51" s="148"/>
      <c r="B51" s="148"/>
      <c r="C51" s="53"/>
      <c r="D51" s="53"/>
      <c r="E51" s="53"/>
      <c r="F51" s="53"/>
    </row>
    <row r="52">
      <c r="A52" s="148"/>
      <c r="B52" s="148"/>
      <c r="C52" s="53"/>
      <c r="D52" s="53"/>
      <c r="E52" s="53"/>
      <c r="F52" s="53"/>
    </row>
    <row r="53">
      <c r="A53" s="148"/>
      <c r="B53" s="148"/>
      <c r="C53" s="53"/>
      <c r="D53" s="53"/>
      <c r="E53" s="53"/>
      <c r="F53" s="53"/>
    </row>
    <row r="54">
      <c r="A54" s="148"/>
      <c r="B54" s="148"/>
      <c r="C54" s="53"/>
      <c r="D54" s="53"/>
      <c r="E54" s="53"/>
      <c r="F54" s="53"/>
    </row>
    <row r="55">
      <c r="A55" s="148"/>
      <c r="B55" s="148"/>
      <c r="C55" s="53"/>
      <c r="D55" s="53"/>
      <c r="E55" s="53"/>
      <c r="F55" s="53"/>
    </row>
    <row r="56">
      <c r="A56" s="148"/>
      <c r="B56" s="148"/>
      <c r="C56" s="53"/>
      <c r="D56" s="53"/>
      <c r="E56" s="53"/>
      <c r="F56" s="53"/>
    </row>
    <row r="57">
      <c r="A57" s="148"/>
      <c r="B57" s="148"/>
      <c r="C57" s="53"/>
      <c r="D57" s="53"/>
      <c r="E57" s="53"/>
      <c r="F57" s="53"/>
    </row>
    <row r="58">
      <c r="A58" s="148"/>
      <c r="B58" s="148"/>
      <c r="C58" s="53"/>
      <c r="D58" s="53"/>
      <c r="E58" s="53"/>
      <c r="F58" s="53"/>
    </row>
    <row r="59">
      <c r="A59" s="148"/>
      <c r="B59" s="148"/>
      <c r="C59" s="53"/>
      <c r="D59" s="53"/>
      <c r="E59" s="53"/>
      <c r="F59" s="53"/>
    </row>
    <row r="60">
      <c r="A60" s="148"/>
      <c r="B60" s="148"/>
      <c r="C60" s="53"/>
      <c r="D60" s="53"/>
      <c r="E60" s="53"/>
      <c r="F60" s="53"/>
    </row>
    <row r="61">
      <c r="A61" s="148"/>
      <c r="B61" s="148"/>
      <c r="C61" s="53"/>
      <c r="D61" s="53"/>
      <c r="E61" s="53"/>
      <c r="F61" s="53"/>
    </row>
    <row r="62">
      <c r="A62" s="148"/>
      <c r="B62" s="148"/>
      <c r="C62" s="53"/>
      <c r="D62" s="53"/>
      <c r="E62" s="53"/>
      <c r="F62" s="53"/>
    </row>
    <row r="63">
      <c r="A63" s="148"/>
      <c r="B63" s="148"/>
      <c r="C63" s="53"/>
      <c r="D63" s="53"/>
      <c r="E63" s="53"/>
      <c r="F63" s="53"/>
    </row>
    <row r="64">
      <c r="A64" s="148"/>
      <c r="B64" s="148"/>
      <c r="C64" s="53"/>
      <c r="D64" s="53"/>
      <c r="E64" s="53"/>
      <c r="F64" s="53"/>
    </row>
    <row r="65">
      <c r="A65" s="148"/>
      <c r="B65" s="148"/>
      <c r="C65" s="53"/>
      <c r="D65" s="53"/>
      <c r="E65" s="53"/>
      <c r="F65" s="53"/>
    </row>
    <row r="66">
      <c r="A66" s="148"/>
      <c r="B66" s="148"/>
      <c r="C66" s="53"/>
      <c r="D66" s="53"/>
      <c r="E66" s="53"/>
      <c r="F66" s="53"/>
    </row>
    <row r="67">
      <c r="A67" s="148"/>
      <c r="B67" s="148"/>
      <c r="C67" s="53"/>
      <c r="D67" s="53"/>
      <c r="E67" s="53"/>
      <c r="F67" s="53"/>
    </row>
    <row r="68">
      <c r="A68" s="148"/>
      <c r="B68" s="148"/>
      <c r="C68" s="53"/>
      <c r="D68" s="53"/>
      <c r="E68" s="53"/>
      <c r="F68" s="53"/>
    </row>
    <row r="69">
      <c r="A69" s="148"/>
      <c r="B69" s="148"/>
      <c r="C69" s="53"/>
      <c r="D69" s="53"/>
      <c r="E69" s="53"/>
      <c r="F69" s="53"/>
    </row>
    <row r="70">
      <c r="A70" s="148"/>
      <c r="B70" s="148"/>
      <c r="C70" s="53"/>
      <c r="D70" s="53"/>
      <c r="E70" s="53"/>
      <c r="F70" s="53"/>
    </row>
    <row r="71">
      <c r="A71" s="148"/>
      <c r="B71" s="148"/>
      <c r="C71" s="53"/>
      <c r="D71" s="53"/>
      <c r="E71" s="53"/>
      <c r="F71" s="53"/>
    </row>
    <row r="72">
      <c r="A72" s="148"/>
      <c r="B72" s="148"/>
      <c r="C72" s="53"/>
      <c r="D72" s="53"/>
      <c r="E72" s="53"/>
      <c r="F72" s="53"/>
    </row>
    <row r="73">
      <c r="A73" s="148"/>
      <c r="B73" s="148"/>
      <c r="C73" s="53"/>
      <c r="D73" s="53"/>
      <c r="E73" s="53"/>
      <c r="F73" s="53"/>
    </row>
    <row r="74">
      <c r="A74" s="148"/>
      <c r="B74" s="148"/>
      <c r="C74" s="53"/>
      <c r="D74" s="53"/>
      <c r="E74" s="53"/>
      <c r="F74" s="53"/>
    </row>
    <row r="75">
      <c r="A75" s="148"/>
      <c r="B75" s="148"/>
      <c r="C75" s="53"/>
      <c r="D75" s="53"/>
      <c r="E75" s="53"/>
      <c r="F75" s="53"/>
    </row>
    <row r="76">
      <c r="A76" s="148"/>
      <c r="B76" s="148"/>
      <c r="C76" s="53"/>
      <c r="D76" s="53"/>
      <c r="E76" s="53"/>
      <c r="F76" s="53"/>
    </row>
    <row r="77">
      <c r="A77" s="148"/>
      <c r="B77" s="148"/>
      <c r="C77" s="53"/>
      <c r="D77" s="53"/>
      <c r="E77" s="53"/>
      <c r="F77" s="53"/>
    </row>
    <row r="78">
      <c r="A78" s="148"/>
      <c r="B78" s="148"/>
      <c r="C78" s="53"/>
      <c r="D78" s="53"/>
      <c r="E78" s="53"/>
      <c r="F78" s="53"/>
    </row>
    <row r="79">
      <c r="A79" s="148"/>
      <c r="B79" s="148"/>
      <c r="C79" s="53"/>
      <c r="D79" s="53"/>
      <c r="E79" s="53"/>
      <c r="F79" s="53"/>
    </row>
    <row r="80">
      <c r="A80" s="148"/>
      <c r="B80" s="148"/>
      <c r="C80" s="53"/>
      <c r="D80" s="53"/>
      <c r="E80" s="53"/>
      <c r="F80" s="53"/>
    </row>
    <row r="81">
      <c r="A81" s="148"/>
      <c r="B81" s="148"/>
      <c r="C81" s="53"/>
      <c r="D81" s="53"/>
      <c r="E81" s="53"/>
      <c r="F81" s="53"/>
    </row>
    <row r="82">
      <c r="A82" s="148"/>
      <c r="B82" s="148"/>
      <c r="C82" s="53"/>
      <c r="D82" s="53"/>
      <c r="E82" s="53"/>
      <c r="F82" s="53"/>
    </row>
    <row r="83">
      <c r="A83" s="148"/>
      <c r="B83" s="148"/>
      <c r="C83" s="53"/>
      <c r="D83" s="53"/>
      <c r="E83" s="53"/>
      <c r="F83" s="53"/>
    </row>
    <row r="84">
      <c r="A84" s="148"/>
      <c r="B84" s="148"/>
      <c r="C84" s="53"/>
      <c r="D84" s="53"/>
      <c r="E84" s="53"/>
      <c r="F84" s="53"/>
    </row>
    <row r="85">
      <c r="A85" s="148"/>
      <c r="B85" s="148"/>
      <c r="C85" s="53"/>
      <c r="D85" s="53"/>
      <c r="E85" s="53"/>
      <c r="F85" s="53"/>
    </row>
    <row r="86">
      <c r="A86" s="148"/>
      <c r="B86" s="148"/>
      <c r="C86" s="53"/>
      <c r="D86" s="53"/>
      <c r="E86" s="53"/>
      <c r="F86" s="53"/>
    </row>
    <row r="87">
      <c r="A87" s="148"/>
      <c r="B87" s="148"/>
      <c r="C87" s="53"/>
      <c r="D87" s="53"/>
      <c r="E87" s="53"/>
      <c r="F87" s="53"/>
    </row>
    <row r="88">
      <c r="A88" s="148"/>
      <c r="B88" s="148"/>
      <c r="C88" s="53"/>
      <c r="D88" s="53"/>
      <c r="E88" s="53"/>
      <c r="F88" s="53"/>
    </row>
    <row r="89">
      <c r="A89" s="148"/>
      <c r="B89" s="148"/>
      <c r="C89" s="53"/>
      <c r="D89" s="53"/>
      <c r="E89" s="53"/>
      <c r="F89" s="53"/>
    </row>
    <row r="90">
      <c r="A90" s="148"/>
      <c r="B90" s="148"/>
      <c r="C90" s="53"/>
      <c r="D90" s="53"/>
      <c r="E90" s="53"/>
      <c r="F90" s="53"/>
    </row>
    <row r="91">
      <c r="A91" s="148"/>
      <c r="B91" s="148"/>
      <c r="C91" s="53"/>
      <c r="D91" s="53"/>
      <c r="E91" s="53"/>
      <c r="F91" s="53"/>
    </row>
    <row r="92">
      <c r="A92" s="148"/>
      <c r="B92" s="148"/>
      <c r="C92" s="53"/>
      <c r="D92" s="53"/>
      <c r="E92" s="53"/>
      <c r="F92" s="53"/>
    </row>
    <row r="93">
      <c r="A93" s="148"/>
      <c r="B93" s="148"/>
      <c r="C93" s="53"/>
      <c r="D93" s="53"/>
      <c r="E93" s="53"/>
      <c r="F93" s="53"/>
    </row>
    <row r="94">
      <c r="A94" s="148"/>
      <c r="B94" s="148"/>
      <c r="C94" s="53"/>
      <c r="D94" s="53"/>
      <c r="E94" s="53"/>
      <c r="F94" s="53"/>
    </row>
    <row r="95">
      <c r="A95" s="148"/>
      <c r="B95" s="148"/>
      <c r="C95" s="53"/>
      <c r="D95" s="53"/>
      <c r="E95" s="53"/>
      <c r="F95" s="53"/>
    </row>
    <row r="96">
      <c r="A96" s="148"/>
      <c r="B96" s="148"/>
      <c r="C96" s="53"/>
      <c r="D96" s="53"/>
      <c r="E96" s="53"/>
      <c r="F96" s="53"/>
    </row>
    <row r="97">
      <c r="A97" s="148"/>
      <c r="B97" s="148"/>
      <c r="C97" s="53"/>
      <c r="D97" s="53"/>
      <c r="E97" s="53"/>
      <c r="F97" s="53"/>
    </row>
    <row r="98">
      <c r="A98" s="148"/>
      <c r="B98" s="148"/>
      <c r="C98" s="53"/>
      <c r="D98" s="53"/>
      <c r="E98" s="53"/>
      <c r="F98" s="53"/>
    </row>
    <row r="99">
      <c r="A99" s="148"/>
      <c r="B99" s="148"/>
      <c r="C99" s="53"/>
      <c r="D99" s="53"/>
      <c r="E99" s="53"/>
      <c r="F99" s="53"/>
    </row>
    <row r="100">
      <c r="A100" s="148"/>
      <c r="B100" s="148"/>
      <c r="C100" s="53"/>
      <c r="D100" s="53"/>
      <c r="E100" s="53"/>
      <c r="F100" s="53"/>
    </row>
    <row r="101">
      <c r="A101" s="148"/>
      <c r="B101" s="148"/>
      <c r="C101" s="53"/>
      <c r="D101" s="53"/>
      <c r="E101" s="53"/>
      <c r="F101" s="53"/>
    </row>
    <row r="102">
      <c r="A102" s="148"/>
      <c r="B102" s="148"/>
      <c r="C102" s="53"/>
      <c r="D102" s="53"/>
      <c r="E102" s="53"/>
      <c r="F102" s="53"/>
    </row>
    <row r="103">
      <c r="A103" s="148"/>
      <c r="B103" s="148"/>
      <c r="C103" s="53"/>
      <c r="D103" s="53"/>
      <c r="E103" s="53"/>
      <c r="F103" s="53"/>
    </row>
    <row r="104">
      <c r="A104" s="148"/>
      <c r="B104" s="148"/>
      <c r="C104" s="53"/>
      <c r="D104" s="53"/>
      <c r="E104" s="53"/>
      <c r="F104" s="53"/>
    </row>
    <row r="105">
      <c r="A105" s="148"/>
      <c r="B105" s="148"/>
      <c r="C105" s="53"/>
      <c r="D105" s="53"/>
      <c r="E105" s="53"/>
      <c r="F105" s="53"/>
    </row>
    <row r="106">
      <c r="A106" s="148"/>
      <c r="B106" s="148"/>
      <c r="C106" s="53"/>
      <c r="D106" s="53"/>
      <c r="E106" s="53"/>
      <c r="F106" s="53"/>
    </row>
    <row r="107">
      <c r="A107" s="148"/>
      <c r="B107" s="148"/>
      <c r="C107" s="53"/>
      <c r="D107" s="53"/>
      <c r="E107" s="53"/>
      <c r="F107" s="53"/>
    </row>
    <row r="108">
      <c r="A108" s="148"/>
      <c r="B108" s="148"/>
      <c r="C108" s="53"/>
      <c r="D108" s="53"/>
      <c r="E108" s="53"/>
      <c r="F108" s="53"/>
    </row>
    <row r="109">
      <c r="A109" s="148"/>
      <c r="B109" s="148"/>
      <c r="C109" s="53"/>
      <c r="D109" s="53"/>
      <c r="E109" s="53"/>
      <c r="F109" s="53"/>
    </row>
    <row r="110">
      <c r="A110" s="148"/>
      <c r="B110" s="148"/>
      <c r="C110" s="53"/>
      <c r="D110" s="53"/>
      <c r="E110" s="53"/>
      <c r="F110" s="53"/>
    </row>
    <row r="111">
      <c r="A111" s="148"/>
      <c r="B111" s="148"/>
      <c r="C111" s="53"/>
      <c r="D111" s="53"/>
      <c r="E111" s="53"/>
      <c r="F111" s="53"/>
    </row>
    <row r="112">
      <c r="A112" s="148"/>
      <c r="B112" s="148"/>
      <c r="C112" s="53"/>
      <c r="D112" s="53"/>
      <c r="E112" s="53"/>
      <c r="F112" s="53"/>
    </row>
    <row r="113">
      <c r="A113" s="148"/>
      <c r="B113" s="148"/>
      <c r="C113" s="53"/>
      <c r="D113" s="53"/>
      <c r="E113" s="53"/>
      <c r="F113" s="53"/>
    </row>
    <row r="114">
      <c r="A114" s="148"/>
      <c r="B114" s="148"/>
      <c r="C114" s="53"/>
      <c r="D114" s="53"/>
      <c r="E114" s="53"/>
      <c r="F114" s="53"/>
    </row>
    <row r="115">
      <c r="A115" s="148"/>
      <c r="B115" s="148"/>
      <c r="C115" s="53"/>
      <c r="D115" s="53"/>
      <c r="E115" s="53"/>
      <c r="F115" s="53"/>
    </row>
    <row r="116">
      <c r="A116" s="148"/>
      <c r="B116" s="148"/>
      <c r="C116" s="53"/>
      <c r="D116" s="53"/>
      <c r="E116" s="53"/>
      <c r="F116" s="53"/>
    </row>
    <row r="117">
      <c r="A117" s="148"/>
      <c r="B117" s="148"/>
      <c r="C117" s="53"/>
      <c r="D117" s="53"/>
      <c r="E117" s="53"/>
      <c r="F117" s="53"/>
    </row>
    <row r="118">
      <c r="A118" s="148"/>
      <c r="B118" s="148"/>
      <c r="C118" s="53"/>
      <c r="D118" s="53"/>
      <c r="E118" s="53"/>
      <c r="F118" s="53"/>
    </row>
    <row r="119">
      <c r="A119" s="148"/>
      <c r="B119" s="148"/>
      <c r="C119" s="53"/>
      <c r="D119" s="53"/>
      <c r="E119" s="53"/>
      <c r="F119" s="53"/>
    </row>
    <row r="120">
      <c r="A120" s="148"/>
      <c r="B120" s="148"/>
      <c r="C120" s="53"/>
      <c r="D120" s="53"/>
      <c r="E120" s="53"/>
      <c r="F120" s="53"/>
    </row>
    <row r="121">
      <c r="A121" s="148"/>
      <c r="B121" s="148"/>
      <c r="C121" s="53"/>
      <c r="D121" s="53"/>
      <c r="E121" s="53"/>
      <c r="F121" s="53"/>
    </row>
    <row r="122">
      <c r="A122" s="148"/>
      <c r="B122" s="148"/>
      <c r="C122" s="53"/>
      <c r="D122" s="53"/>
      <c r="E122" s="53"/>
      <c r="F122" s="53"/>
    </row>
    <row r="123">
      <c r="A123" s="148"/>
      <c r="B123" s="148"/>
      <c r="C123" s="53"/>
      <c r="D123" s="53"/>
      <c r="E123" s="53"/>
      <c r="F123" s="53"/>
    </row>
    <row r="124">
      <c r="A124" s="148"/>
      <c r="B124" s="148"/>
      <c r="C124" s="53"/>
      <c r="D124" s="53"/>
      <c r="E124" s="53"/>
      <c r="F124" s="53"/>
    </row>
    <row r="125">
      <c r="A125" s="148"/>
      <c r="B125" s="148"/>
      <c r="C125" s="53"/>
      <c r="D125" s="53"/>
      <c r="E125" s="53"/>
      <c r="F125" s="53"/>
    </row>
    <row r="126">
      <c r="A126" s="148"/>
      <c r="B126" s="148"/>
      <c r="C126" s="53"/>
      <c r="D126" s="53"/>
      <c r="E126" s="53"/>
      <c r="F126" s="53"/>
    </row>
    <row r="127">
      <c r="A127" s="148"/>
      <c r="B127" s="148"/>
      <c r="C127" s="53"/>
      <c r="D127" s="53"/>
      <c r="E127" s="53"/>
      <c r="F127" s="53"/>
    </row>
    <row r="128">
      <c r="A128" s="148"/>
      <c r="B128" s="148"/>
      <c r="C128" s="53"/>
      <c r="D128" s="53"/>
      <c r="E128" s="53"/>
      <c r="F128" s="53"/>
    </row>
    <row r="129">
      <c r="A129" s="148"/>
      <c r="B129" s="148"/>
      <c r="C129" s="53"/>
      <c r="D129" s="53"/>
      <c r="E129" s="53"/>
      <c r="F129" s="53"/>
    </row>
    <row r="130">
      <c r="A130" s="148"/>
      <c r="B130" s="148"/>
      <c r="C130" s="53"/>
      <c r="D130" s="53"/>
      <c r="E130" s="53"/>
      <c r="F130" s="53"/>
    </row>
    <row r="131">
      <c r="A131" s="148"/>
      <c r="B131" s="148"/>
      <c r="C131" s="53"/>
      <c r="D131" s="53"/>
      <c r="E131" s="53"/>
      <c r="F131" s="53"/>
    </row>
    <row r="132">
      <c r="A132" s="148"/>
      <c r="B132" s="148"/>
      <c r="C132" s="53"/>
      <c r="D132" s="53"/>
      <c r="E132" s="53"/>
      <c r="F132" s="53"/>
    </row>
    <row r="133">
      <c r="A133" s="148"/>
      <c r="B133" s="148"/>
      <c r="C133" s="53"/>
      <c r="D133" s="53"/>
      <c r="E133" s="53"/>
      <c r="F133" s="53"/>
    </row>
    <row r="134">
      <c r="A134" s="148"/>
      <c r="B134" s="148"/>
      <c r="C134" s="53"/>
      <c r="D134" s="53"/>
      <c r="E134" s="53"/>
      <c r="F134" s="53"/>
    </row>
    <row r="135">
      <c r="A135" s="148"/>
      <c r="B135" s="148"/>
      <c r="C135" s="53"/>
      <c r="D135" s="53"/>
      <c r="E135" s="53"/>
      <c r="F135" s="53"/>
    </row>
    <row r="136">
      <c r="A136" s="148"/>
      <c r="B136" s="148"/>
      <c r="C136" s="53"/>
      <c r="D136" s="53"/>
      <c r="E136" s="53"/>
      <c r="F136" s="53"/>
    </row>
    <row r="137">
      <c r="A137" s="148"/>
      <c r="B137" s="148"/>
      <c r="C137" s="53"/>
      <c r="D137" s="53"/>
      <c r="E137" s="53"/>
      <c r="F137" s="53"/>
    </row>
    <row r="138">
      <c r="A138" s="148"/>
      <c r="B138" s="148"/>
      <c r="C138" s="53"/>
      <c r="D138" s="53"/>
      <c r="E138" s="53"/>
      <c r="F138" s="53"/>
    </row>
    <row r="139">
      <c r="A139" s="148"/>
      <c r="B139" s="148"/>
      <c r="C139" s="53"/>
      <c r="D139" s="53"/>
      <c r="E139" s="53"/>
      <c r="F139" s="53"/>
    </row>
    <row r="140">
      <c r="A140" s="148"/>
      <c r="B140" s="148"/>
      <c r="C140" s="53"/>
      <c r="D140" s="53"/>
      <c r="E140" s="53"/>
      <c r="F140" s="53"/>
    </row>
    <row r="141">
      <c r="A141" s="148"/>
      <c r="B141" s="148"/>
      <c r="C141" s="53"/>
      <c r="D141" s="53"/>
      <c r="E141" s="53"/>
      <c r="F141" s="53"/>
    </row>
    <row r="142">
      <c r="A142" s="148"/>
      <c r="B142" s="148"/>
      <c r="C142" s="53"/>
      <c r="D142" s="53"/>
      <c r="E142" s="53"/>
      <c r="F142" s="53"/>
    </row>
    <row r="143">
      <c r="A143" s="148"/>
      <c r="B143" s="148"/>
      <c r="C143" s="53"/>
      <c r="D143" s="53"/>
      <c r="E143" s="53"/>
      <c r="F143" s="53"/>
    </row>
    <row r="144">
      <c r="A144" s="148"/>
      <c r="B144" s="148"/>
      <c r="C144" s="53"/>
      <c r="D144" s="53"/>
      <c r="E144" s="53"/>
      <c r="F144" s="53"/>
    </row>
    <row r="145">
      <c r="A145" s="148"/>
      <c r="B145" s="148"/>
      <c r="C145" s="53"/>
      <c r="D145" s="53"/>
      <c r="E145" s="53"/>
      <c r="F145" s="53"/>
    </row>
    <row r="146">
      <c r="A146" s="148"/>
      <c r="B146" s="148"/>
      <c r="C146" s="53"/>
      <c r="D146" s="53"/>
      <c r="E146" s="53"/>
      <c r="F146" s="53"/>
    </row>
    <row r="147">
      <c r="A147" s="148"/>
      <c r="B147" s="148"/>
      <c r="C147" s="53"/>
      <c r="D147" s="53"/>
      <c r="E147" s="53"/>
      <c r="F147" s="53"/>
    </row>
    <row r="148">
      <c r="A148" s="148"/>
      <c r="B148" s="148"/>
      <c r="C148" s="53"/>
      <c r="D148" s="53"/>
      <c r="E148" s="53"/>
      <c r="F148" s="53"/>
    </row>
    <row r="149">
      <c r="A149" s="148"/>
      <c r="B149" s="148"/>
      <c r="C149" s="53"/>
      <c r="D149" s="53"/>
      <c r="E149" s="53"/>
      <c r="F149" s="53"/>
    </row>
    <row r="150">
      <c r="A150" s="148"/>
      <c r="B150" s="148"/>
      <c r="C150" s="53"/>
      <c r="D150" s="53"/>
      <c r="E150" s="53"/>
      <c r="F150" s="53"/>
    </row>
    <row r="151">
      <c r="A151" s="148"/>
      <c r="B151" s="148"/>
      <c r="C151" s="53"/>
      <c r="D151" s="53"/>
      <c r="E151" s="53"/>
      <c r="F151" s="53"/>
    </row>
    <row r="152">
      <c r="A152" s="148"/>
      <c r="B152" s="148"/>
      <c r="C152" s="53"/>
      <c r="D152" s="53"/>
      <c r="E152" s="53"/>
      <c r="F152" s="53"/>
    </row>
    <row r="153">
      <c r="A153" s="148"/>
      <c r="B153" s="148"/>
      <c r="C153" s="53"/>
      <c r="D153" s="53"/>
      <c r="E153" s="53"/>
      <c r="F153" s="53"/>
    </row>
    <row r="154">
      <c r="A154" s="148"/>
      <c r="B154" s="148"/>
      <c r="C154" s="53"/>
      <c r="D154" s="53"/>
      <c r="E154" s="53"/>
      <c r="F154" s="53"/>
    </row>
    <row r="155">
      <c r="A155" s="148"/>
      <c r="B155" s="148"/>
      <c r="C155" s="53"/>
      <c r="D155" s="53"/>
      <c r="E155" s="53"/>
      <c r="F155" s="53"/>
    </row>
    <row r="156">
      <c r="A156" s="148"/>
      <c r="B156" s="148"/>
      <c r="C156" s="53"/>
      <c r="D156" s="53"/>
      <c r="E156" s="53"/>
      <c r="F156" s="53"/>
    </row>
    <row r="157">
      <c r="A157" s="148"/>
      <c r="B157" s="148"/>
      <c r="C157" s="53"/>
      <c r="D157" s="53"/>
      <c r="E157" s="53"/>
      <c r="F157" s="53"/>
    </row>
    <row r="158">
      <c r="A158" s="148"/>
      <c r="B158" s="148"/>
      <c r="C158" s="53"/>
      <c r="D158" s="53"/>
      <c r="E158" s="53"/>
      <c r="F158" s="53"/>
    </row>
    <row r="159">
      <c r="A159" s="148"/>
      <c r="B159" s="148"/>
      <c r="C159" s="53"/>
      <c r="D159" s="53"/>
      <c r="E159" s="53"/>
      <c r="F159" s="53"/>
    </row>
    <row r="160">
      <c r="A160" s="148"/>
      <c r="B160" s="148"/>
      <c r="C160" s="53"/>
      <c r="D160" s="53"/>
      <c r="E160" s="53"/>
      <c r="F160" s="53"/>
    </row>
    <row r="161">
      <c r="A161" s="148"/>
      <c r="B161" s="148"/>
      <c r="C161" s="53"/>
      <c r="D161" s="53"/>
      <c r="E161" s="53"/>
      <c r="F161" s="53"/>
    </row>
    <row r="162">
      <c r="A162" s="148"/>
      <c r="B162" s="148"/>
      <c r="C162" s="53"/>
      <c r="D162" s="53"/>
      <c r="E162" s="53"/>
      <c r="F162" s="53"/>
    </row>
    <row r="163">
      <c r="A163" s="148"/>
      <c r="B163" s="148"/>
      <c r="C163" s="53"/>
      <c r="D163" s="53"/>
      <c r="E163" s="53"/>
      <c r="F163" s="53"/>
    </row>
    <row r="164">
      <c r="A164" s="148"/>
      <c r="B164" s="148"/>
      <c r="C164" s="53"/>
      <c r="D164" s="53"/>
      <c r="E164" s="53"/>
      <c r="F164" s="53"/>
    </row>
    <row r="165">
      <c r="A165" s="148"/>
      <c r="B165" s="148"/>
      <c r="C165" s="53"/>
      <c r="D165" s="53"/>
      <c r="E165" s="53"/>
      <c r="F165" s="53"/>
    </row>
    <row r="166">
      <c r="A166" s="148"/>
      <c r="B166" s="148"/>
      <c r="C166" s="53"/>
      <c r="D166" s="53"/>
      <c r="E166" s="53"/>
      <c r="F166" s="53"/>
    </row>
    <row r="167">
      <c r="A167" s="148"/>
      <c r="B167" s="148"/>
      <c r="C167" s="53"/>
      <c r="D167" s="53"/>
      <c r="E167" s="53"/>
      <c r="F167" s="53"/>
    </row>
    <row r="168">
      <c r="A168" s="148"/>
      <c r="B168" s="148"/>
      <c r="C168" s="53"/>
      <c r="D168" s="53"/>
      <c r="E168" s="53"/>
      <c r="F168" s="53"/>
    </row>
    <row r="169">
      <c r="A169" s="148"/>
      <c r="B169" s="148"/>
      <c r="C169" s="53"/>
      <c r="D169" s="53"/>
      <c r="E169" s="53"/>
      <c r="F169" s="53"/>
    </row>
    <row r="170">
      <c r="A170" s="148"/>
      <c r="B170" s="148"/>
      <c r="C170" s="53"/>
      <c r="D170" s="53"/>
      <c r="E170" s="53"/>
      <c r="F170" s="53"/>
    </row>
    <row r="171">
      <c r="A171" s="148"/>
      <c r="B171" s="148"/>
      <c r="C171" s="53"/>
      <c r="D171" s="53"/>
      <c r="E171" s="53"/>
      <c r="F171" s="53"/>
    </row>
    <row r="172">
      <c r="A172" s="148"/>
      <c r="B172" s="148"/>
      <c r="C172" s="53"/>
      <c r="D172" s="53"/>
      <c r="E172" s="53"/>
      <c r="F172" s="53"/>
    </row>
    <row r="173">
      <c r="A173" s="148"/>
      <c r="B173" s="148"/>
      <c r="C173" s="53"/>
      <c r="D173" s="53"/>
      <c r="E173" s="53"/>
      <c r="F173" s="53"/>
    </row>
    <row r="174">
      <c r="A174" s="148"/>
      <c r="B174" s="148"/>
      <c r="C174" s="53"/>
      <c r="D174" s="53"/>
      <c r="E174" s="53"/>
      <c r="F174" s="53"/>
    </row>
    <row r="175">
      <c r="A175" s="148"/>
      <c r="B175" s="148"/>
      <c r="C175" s="53"/>
      <c r="D175" s="53"/>
      <c r="E175" s="53"/>
      <c r="F175" s="53"/>
    </row>
    <row r="176">
      <c r="A176" s="148"/>
      <c r="B176" s="148"/>
      <c r="C176" s="53"/>
      <c r="D176" s="53"/>
      <c r="E176" s="53"/>
      <c r="F176" s="53"/>
    </row>
    <row r="177">
      <c r="A177" s="148"/>
      <c r="B177" s="148"/>
      <c r="C177" s="53"/>
      <c r="D177" s="53"/>
      <c r="E177" s="53"/>
      <c r="F177" s="53"/>
    </row>
    <row r="178">
      <c r="A178" s="148"/>
      <c r="B178" s="148"/>
      <c r="C178" s="53"/>
      <c r="D178" s="53"/>
      <c r="E178" s="53"/>
      <c r="F178" s="53"/>
    </row>
    <row r="179">
      <c r="A179" s="148"/>
      <c r="B179" s="148"/>
      <c r="C179" s="53"/>
      <c r="D179" s="53"/>
      <c r="E179" s="53"/>
      <c r="F179" s="53"/>
    </row>
    <row r="180">
      <c r="A180" s="148"/>
      <c r="B180" s="148"/>
      <c r="C180" s="53"/>
      <c r="D180" s="53"/>
      <c r="E180" s="53"/>
      <c r="F180" s="53"/>
    </row>
    <row r="181">
      <c r="A181" s="148"/>
      <c r="B181" s="148"/>
      <c r="C181" s="53"/>
      <c r="D181" s="53"/>
      <c r="E181" s="53"/>
      <c r="F181" s="53"/>
    </row>
    <row r="182">
      <c r="A182" s="148"/>
      <c r="B182" s="148"/>
      <c r="C182" s="53"/>
      <c r="D182" s="53"/>
      <c r="E182" s="53"/>
      <c r="F182" s="53"/>
    </row>
    <row r="183">
      <c r="A183" s="148"/>
      <c r="B183" s="148"/>
      <c r="C183" s="53"/>
      <c r="D183" s="53"/>
      <c r="E183" s="53"/>
      <c r="F183" s="53"/>
    </row>
    <row r="184">
      <c r="A184" s="148"/>
      <c r="B184" s="148"/>
      <c r="C184" s="53"/>
      <c r="D184" s="53"/>
      <c r="E184" s="53"/>
      <c r="F184" s="53"/>
    </row>
    <row r="185">
      <c r="A185" s="148"/>
      <c r="B185" s="148"/>
      <c r="C185" s="53"/>
      <c r="D185" s="53"/>
      <c r="E185" s="53"/>
      <c r="F185" s="53"/>
    </row>
    <row r="186">
      <c r="A186" s="148"/>
      <c r="B186" s="148"/>
      <c r="C186" s="53"/>
      <c r="D186" s="53"/>
      <c r="E186" s="53"/>
      <c r="F186" s="53"/>
    </row>
    <row r="187">
      <c r="A187" s="148"/>
      <c r="B187" s="148"/>
      <c r="C187" s="53"/>
      <c r="D187" s="53"/>
      <c r="E187" s="53"/>
      <c r="F187" s="53"/>
    </row>
    <row r="188">
      <c r="A188" s="148"/>
      <c r="B188" s="148"/>
      <c r="C188" s="53"/>
      <c r="D188" s="53"/>
      <c r="E188" s="53"/>
      <c r="F188" s="53"/>
    </row>
    <row r="189">
      <c r="A189" s="148"/>
      <c r="B189" s="148"/>
      <c r="C189" s="53"/>
      <c r="D189" s="53"/>
      <c r="E189" s="53"/>
      <c r="F189" s="53"/>
    </row>
    <row r="190">
      <c r="A190" s="148"/>
      <c r="B190" s="148"/>
      <c r="C190" s="53"/>
      <c r="D190" s="53"/>
      <c r="E190" s="53"/>
      <c r="F190" s="53"/>
    </row>
    <row r="191">
      <c r="A191" s="148"/>
      <c r="B191" s="148"/>
      <c r="C191" s="53"/>
      <c r="D191" s="53"/>
      <c r="E191" s="53"/>
      <c r="F191" s="53"/>
    </row>
    <row r="192">
      <c r="A192" s="148"/>
      <c r="B192" s="148"/>
      <c r="C192" s="53"/>
      <c r="D192" s="53"/>
      <c r="E192" s="53"/>
      <c r="F192" s="53"/>
    </row>
    <row r="193">
      <c r="A193" s="148"/>
      <c r="B193" s="148"/>
      <c r="C193" s="53"/>
      <c r="D193" s="53"/>
      <c r="E193" s="53"/>
      <c r="F193" s="53"/>
    </row>
    <row r="194">
      <c r="A194" s="148"/>
      <c r="B194" s="148"/>
      <c r="C194" s="53"/>
      <c r="D194" s="53"/>
      <c r="E194" s="53"/>
      <c r="F194" s="53"/>
    </row>
    <row r="195">
      <c r="A195" s="148"/>
      <c r="B195" s="148"/>
      <c r="C195" s="53"/>
      <c r="D195" s="53"/>
      <c r="E195" s="53"/>
      <c r="F195" s="53"/>
    </row>
    <row r="196">
      <c r="A196" s="148"/>
      <c r="B196" s="148"/>
      <c r="C196" s="53"/>
      <c r="D196" s="53"/>
      <c r="E196" s="53"/>
      <c r="F196" s="53"/>
    </row>
    <row r="197">
      <c r="A197" s="148"/>
      <c r="B197" s="148"/>
      <c r="C197" s="53"/>
      <c r="D197" s="53"/>
      <c r="E197" s="53"/>
      <c r="F197" s="53"/>
    </row>
    <row r="198">
      <c r="A198" s="148"/>
      <c r="B198" s="148"/>
      <c r="C198" s="53"/>
      <c r="D198" s="53"/>
      <c r="E198" s="53"/>
      <c r="F198" s="53"/>
    </row>
    <row r="199">
      <c r="A199" s="148"/>
      <c r="B199" s="148"/>
      <c r="C199" s="53"/>
      <c r="D199" s="53"/>
      <c r="E199" s="53"/>
      <c r="F199" s="53"/>
    </row>
    <row r="200">
      <c r="A200" s="148"/>
      <c r="B200" s="148"/>
      <c r="C200" s="53"/>
      <c r="D200" s="53"/>
      <c r="E200" s="53"/>
      <c r="F200" s="53"/>
    </row>
    <row r="201">
      <c r="A201" s="148"/>
      <c r="B201" s="148"/>
      <c r="C201" s="53"/>
      <c r="D201" s="53"/>
      <c r="E201" s="53"/>
      <c r="F201" s="53"/>
    </row>
    <row r="202">
      <c r="A202" s="148"/>
      <c r="B202" s="148"/>
      <c r="C202" s="53"/>
      <c r="D202" s="53"/>
      <c r="E202" s="53"/>
      <c r="F202" s="53"/>
    </row>
    <row r="203">
      <c r="A203" s="148"/>
      <c r="B203" s="148"/>
      <c r="C203" s="53"/>
      <c r="D203" s="53"/>
      <c r="E203" s="53"/>
      <c r="F203" s="53"/>
    </row>
    <row r="204">
      <c r="A204" s="148"/>
      <c r="B204" s="148"/>
      <c r="C204" s="53"/>
      <c r="D204" s="53"/>
      <c r="E204" s="53"/>
      <c r="F204" s="53"/>
    </row>
    <row r="205">
      <c r="A205" s="148"/>
      <c r="B205" s="148"/>
      <c r="C205" s="53"/>
      <c r="D205" s="53"/>
      <c r="E205" s="53"/>
      <c r="F205" s="53"/>
    </row>
    <row r="206">
      <c r="A206" s="148"/>
      <c r="B206" s="148"/>
      <c r="C206" s="53"/>
      <c r="D206" s="53"/>
      <c r="E206" s="53"/>
      <c r="F206" s="53"/>
    </row>
    <row r="207">
      <c r="A207" s="148"/>
      <c r="B207" s="148"/>
      <c r="C207" s="53"/>
      <c r="D207" s="53"/>
      <c r="E207" s="53"/>
      <c r="F207" s="53"/>
    </row>
    <row r="208">
      <c r="A208" s="148"/>
      <c r="B208" s="148"/>
      <c r="C208" s="53"/>
      <c r="D208" s="53"/>
      <c r="E208" s="53"/>
      <c r="F208" s="53"/>
    </row>
    <row r="209">
      <c r="A209" s="148"/>
      <c r="B209" s="148"/>
      <c r="C209" s="53"/>
      <c r="D209" s="53"/>
      <c r="E209" s="53"/>
      <c r="F209" s="53"/>
    </row>
    <row r="210">
      <c r="A210" s="148"/>
      <c r="B210" s="148"/>
      <c r="C210" s="53"/>
      <c r="D210" s="53"/>
      <c r="E210" s="53"/>
      <c r="F210" s="53"/>
    </row>
    <row r="211">
      <c r="A211" s="148"/>
      <c r="B211" s="148"/>
      <c r="C211" s="53"/>
      <c r="D211" s="53"/>
      <c r="E211" s="53"/>
      <c r="F211" s="53"/>
    </row>
    <row r="212">
      <c r="A212" s="148"/>
      <c r="B212" s="148"/>
      <c r="C212" s="53"/>
      <c r="D212" s="53"/>
      <c r="E212" s="53"/>
      <c r="F212" s="53"/>
    </row>
    <row r="213">
      <c r="A213" s="148"/>
      <c r="B213" s="148"/>
      <c r="C213" s="53"/>
      <c r="D213" s="53"/>
      <c r="E213" s="53"/>
      <c r="F213" s="53"/>
    </row>
    <row r="214">
      <c r="A214" s="148"/>
      <c r="B214" s="148"/>
      <c r="C214" s="53"/>
      <c r="D214" s="53"/>
      <c r="E214" s="53"/>
      <c r="F214" s="53"/>
    </row>
    <row r="215">
      <c r="A215" s="148"/>
      <c r="B215" s="148"/>
      <c r="C215" s="53"/>
      <c r="D215" s="53"/>
      <c r="E215" s="53"/>
      <c r="F215" s="53"/>
    </row>
    <row r="216">
      <c r="A216" s="148"/>
      <c r="B216" s="148"/>
      <c r="C216" s="53"/>
      <c r="D216" s="53"/>
      <c r="E216" s="53"/>
      <c r="F216" s="53"/>
    </row>
    <row r="217">
      <c r="A217" s="148"/>
      <c r="B217" s="148"/>
      <c r="C217" s="53"/>
      <c r="D217" s="53"/>
      <c r="E217" s="53"/>
      <c r="F217" s="53"/>
    </row>
    <row r="218">
      <c r="A218" s="148"/>
      <c r="B218" s="148"/>
      <c r="C218" s="53"/>
      <c r="D218" s="53"/>
      <c r="E218" s="53"/>
      <c r="F218" s="53"/>
    </row>
    <row r="219">
      <c r="A219" s="148"/>
      <c r="B219" s="148"/>
      <c r="C219" s="53"/>
      <c r="D219" s="53"/>
      <c r="E219" s="53"/>
      <c r="F219" s="53"/>
    </row>
    <row r="220">
      <c r="A220" s="148"/>
      <c r="B220" s="148"/>
      <c r="C220" s="53"/>
      <c r="D220" s="53"/>
      <c r="E220" s="53"/>
      <c r="F220" s="53"/>
    </row>
    <row r="221">
      <c r="A221" s="148"/>
      <c r="B221" s="148"/>
      <c r="C221" s="53"/>
      <c r="D221" s="53"/>
      <c r="E221" s="53"/>
      <c r="F221" s="53"/>
    </row>
    <row r="222">
      <c r="A222" s="148"/>
      <c r="B222" s="148"/>
      <c r="C222" s="53"/>
      <c r="D222" s="53"/>
      <c r="E222" s="53"/>
      <c r="F222" s="53"/>
    </row>
    <row r="223">
      <c r="A223" s="148"/>
      <c r="B223" s="148"/>
      <c r="C223" s="53"/>
      <c r="D223" s="53"/>
      <c r="E223" s="53"/>
      <c r="F223" s="53"/>
    </row>
    <row r="224">
      <c r="A224" s="148"/>
      <c r="B224" s="148"/>
      <c r="C224" s="53"/>
      <c r="D224" s="53"/>
      <c r="E224" s="53"/>
      <c r="F224" s="53"/>
    </row>
    <row r="225">
      <c r="A225" s="148"/>
      <c r="B225" s="148"/>
      <c r="C225" s="53"/>
      <c r="D225" s="53"/>
      <c r="E225" s="53"/>
      <c r="F225" s="53"/>
    </row>
    <row r="226">
      <c r="A226" s="148"/>
      <c r="B226" s="148"/>
      <c r="C226" s="53"/>
      <c r="D226" s="53"/>
      <c r="E226" s="53"/>
      <c r="F226" s="53"/>
    </row>
    <row r="227">
      <c r="A227" s="148"/>
      <c r="B227" s="148"/>
      <c r="C227" s="53"/>
      <c r="D227" s="53"/>
      <c r="E227" s="53"/>
      <c r="F227" s="53"/>
    </row>
    <row r="228">
      <c r="A228" s="148"/>
      <c r="B228" s="148"/>
      <c r="C228" s="53"/>
      <c r="D228" s="53"/>
      <c r="E228" s="53"/>
      <c r="F228" s="53"/>
    </row>
    <row r="229">
      <c r="A229" s="148"/>
      <c r="B229" s="148"/>
      <c r="C229" s="53"/>
      <c r="D229" s="53"/>
      <c r="E229" s="53"/>
      <c r="F229" s="53"/>
    </row>
    <row r="230">
      <c r="A230" s="148"/>
      <c r="B230" s="148"/>
      <c r="C230" s="53"/>
      <c r="D230" s="53"/>
      <c r="E230" s="53"/>
      <c r="F230" s="53"/>
    </row>
    <row r="231">
      <c r="A231" s="148"/>
      <c r="B231" s="148"/>
      <c r="C231" s="53"/>
      <c r="D231" s="53"/>
      <c r="E231" s="53"/>
      <c r="F231" s="53"/>
    </row>
    <row r="232">
      <c r="A232" s="148"/>
      <c r="B232" s="148"/>
      <c r="C232" s="53"/>
      <c r="D232" s="53"/>
      <c r="E232" s="53"/>
      <c r="F232" s="53"/>
    </row>
    <row r="233">
      <c r="A233" s="148"/>
      <c r="B233" s="148"/>
      <c r="C233" s="53"/>
      <c r="D233" s="53"/>
      <c r="E233" s="53"/>
      <c r="F233" s="53"/>
    </row>
    <row r="234">
      <c r="A234" s="148"/>
      <c r="B234" s="148"/>
      <c r="C234" s="53"/>
      <c r="D234" s="53"/>
      <c r="E234" s="53"/>
      <c r="F234" s="53"/>
    </row>
    <row r="235">
      <c r="A235" s="148"/>
      <c r="B235" s="148"/>
      <c r="C235" s="53"/>
      <c r="D235" s="53"/>
      <c r="E235" s="53"/>
      <c r="F235" s="53"/>
    </row>
    <row r="236">
      <c r="A236" s="148"/>
      <c r="B236" s="148"/>
      <c r="C236" s="53"/>
      <c r="D236" s="53"/>
      <c r="E236" s="53"/>
      <c r="F236" s="53"/>
    </row>
    <row r="237">
      <c r="A237" s="148"/>
      <c r="B237" s="148"/>
      <c r="C237" s="53"/>
      <c r="D237" s="53"/>
      <c r="E237" s="53"/>
      <c r="F237" s="53"/>
    </row>
    <row r="238">
      <c r="A238" s="148"/>
      <c r="B238" s="148"/>
      <c r="C238" s="53"/>
      <c r="D238" s="53"/>
      <c r="E238" s="53"/>
      <c r="F238" s="53"/>
    </row>
    <row r="239">
      <c r="A239" s="148"/>
      <c r="B239" s="148"/>
      <c r="C239" s="53"/>
      <c r="D239" s="53"/>
      <c r="E239" s="53"/>
      <c r="F239" s="53"/>
    </row>
    <row r="240">
      <c r="A240" s="148"/>
      <c r="B240" s="148"/>
      <c r="C240" s="53"/>
      <c r="D240" s="53"/>
      <c r="E240" s="53"/>
      <c r="F240" s="53"/>
    </row>
    <row r="241">
      <c r="A241" s="148"/>
      <c r="B241" s="148"/>
      <c r="C241" s="53"/>
      <c r="D241" s="53"/>
      <c r="E241" s="53"/>
      <c r="F241" s="53"/>
    </row>
    <row r="242">
      <c r="A242" s="148"/>
      <c r="B242" s="148"/>
      <c r="C242" s="53"/>
      <c r="D242" s="53"/>
      <c r="E242" s="53"/>
      <c r="F242" s="53"/>
    </row>
    <row r="243">
      <c r="A243" s="148"/>
      <c r="B243" s="148"/>
      <c r="C243" s="53"/>
      <c r="D243" s="53"/>
      <c r="E243" s="53"/>
      <c r="F243" s="53"/>
    </row>
    <row r="244">
      <c r="A244" s="148"/>
      <c r="B244" s="148"/>
      <c r="C244" s="53"/>
      <c r="D244" s="53"/>
      <c r="E244" s="53"/>
      <c r="F244" s="53"/>
    </row>
    <row r="245">
      <c r="A245" s="148"/>
      <c r="B245" s="148"/>
      <c r="C245" s="53"/>
      <c r="D245" s="53"/>
      <c r="E245" s="53"/>
      <c r="F245" s="53"/>
    </row>
    <row r="246">
      <c r="A246" s="148"/>
      <c r="B246" s="148"/>
      <c r="C246" s="53"/>
      <c r="D246" s="53"/>
      <c r="E246" s="53"/>
      <c r="F246" s="53"/>
    </row>
    <row r="247">
      <c r="A247" s="148"/>
      <c r="B247" s="148"/>
      <c r="C247" s="53"/>
      <c r="D247" s="53"/>
      <c r="E247" s="53"/>
      <c r="F247" s="53"/>
    </row>
    <row r="248">
      <c r="A248" s="148"/>
      <c r="B248" s="148"/>
      <c r="C248" s="53"/>
      <c r="D248" s="53"/>
      <c r="E248" s="53"/>
      <c r="F248" s="53"/>
    </row>
    <row r="249">
      <c r="A249" s="148"/>
      <c r="B249" s="148"/>
      <c r="C249" s="53"/>
      <c r="D249" s="53"/>
      <c r="E249" s="53"/>
      <c r="F249" s="53"/>
    </row>
    <row r="250">
      <c r="A250" s="148"/>
      <c r="B250" s="148"/>
      <c r="C250" s="53"/>
      <c r="D250" s="53"/>
      <c r="E250" s="53"/>
      <c r="F250" s="53"/>
    </row>
    <row r="251">
      <c r="A251" s="148"/>
      <c r="B251" s="148"/>
      <c r="C251" s="53"/>
      <c r="D251" s="53"/>
      <c r="E251" s="53"/>
      <c r="F251" s="53"/>
    </row>
    <row r="252">
      <c r="A252" s="148"/>
      <c r="B252" s="148"/>
      <c r="C252" s="53"/>
      <c r="D252" s="53"/>
      <c r="E252" s="53"/>
      <c r="F252" s="53"/>
    </row>
    <row r="253">
      <c r="A253" s="148"/>
      <c r="B253" s="148"/>
      <c r="C253" s="53"/>
      <c r="D253" s="53"/>
      <c r="E253" s="53"/>
      <c r="F253" s="53"/>
    </row>
    <row r="254">
      <c r="A254" s="148"/>
      <c r="B254" s="148"/>
      <c r="C254" s="53"/>
      <c r="D254" s="53"/>
      <c r="E254" s="53"/>
      <c r="F254" s="53"/>
    </row>
    <row r="255">
      <c r="A255" s="148"/>
      <c r="B255" s="148"/>
      <c r="C255" s="53"/>
      <c r="D255" s="53"/>
      <c r="E255" s="53"/>
      <c r="F255" s="53"/>
    </row>
    <row r="256">
      <c r="A256" s="148"/>
      <c r="B256" s="148"/>
      <c r="C256" s="53"/>
      <c r="D256" s="53"/>
      <c r="E256" s="53"/>
      <c r="F256" s="53"/>
    </row>
    <row r="257">
      <c r="A257" s="148"/>
      <c r="B257" s="148"/>
      <c r="C257" s="53"/>
      <c r="D257" s="53"/>
      <c r="E257" s="53"/>
      <c r="F257" s="53"/>
    </row>
    <row r="258">
      <c r="A258" s="148"/>
      <c r="B258" s="148"/>
      <c r="C258" s="53"/>
      <c r="D258" s="53"/>
      <c r="E258" s="53"/>
      <c r="F258" s="53"/>
    </row>
    <row r="259">
      <c r="A259" s="148"/>
      <c r="B259" s="148"/>
      <c r="C259" s="53"/>
      <c r="D259" s="53"/>
      <c r="E259" s="53"/>
      <c r="F259" s="53"/>
    </row>
    <row r="260">
      <c r="A260" s="148"/>
      <c r="B260" s="148"/>
      <c r="C260" s="53"/>
      <c r="D260" s="53"/>
      <c r="E260" s="53"/>
      <c r="F260" s="53"/>
    </row>
    <row r="261">
      <c r="A261" s="148"/>
      <c r="B261" s="148"/>
      <c r="C261" s="53"/>
      <c r="D261" s="53"/>
      <c r="E261" s="53"/>
      <c r="F261" s="53"/>
    </row>
    <row r="262">
      <c r="A262" s="148"/>
      <c r="B262" s="148"/>
      <c r="C262" s="53"/>
      <c r="D262" s="53"/>
      <c r="E262" s="53"/>
      <c r="F262" s="53"/>
    </row>
    <row r="263">
      <c r="A263" s="148"/>
      <c r="B263" s="148"/>
      <c r="C263" s="53"/>
      <c r="D263" s="53"/>
      <c r="E263" s="53"/>
      <c r="F263" s="53"/>
    </row>
    <row r="264">
      <c r="A264" s="148"/>
      <c r="B264" s="148"/>
      <c r="C264" s="53"/>
      <c r="D264" s="53"/>
      <c r="E264" s="53"/>
      <c r="F264" s="53"/>
    </row>
    <row r="265">
      <c r="A265" s="148"/>
      <c r="B265" s="148"/>
      <c r="C265" s="53"/>
      <c r="D265" s="53"/>
      <c r="E265" s="53"/>
      <c r="F265" s="53"/>
    </row>
    <row r="266">
      <c r="A266" s="148"/>
      <c r="B266" s="148"/>
      <c r="C266" s="53"/>
      <c r="D266" s="53"/>
      <c r="E266" s="53"/>
      <c r="F266" s="53"/>
    </row>
    <row r="267">
      <c r="A267" s="148"/>
      <c r="B267" s="148"/>
      <c r="C267" s="53"/>
      <c r="D267" s="53"/>
      <c r="E267" s="53"/>
      <c r="F267" s="53"/>
    </row>
    <row r="268">
      <c r="A268" s="148"/>
      <c r="B268" s="148"/>
      <c r="C268" s="53"/>
      <c r="D268" s="53"/>
      <c r="E268" s="53"/>
      <c r="F268" s="53"/>
    </row>
    <row r="269">
      <c r="A269" s="148"/>
      <c r="B269" s="148"/>
      <c r="C269" s="53"/>
      <c r="D269" s="53"/>
      <c r="E269" s="53"/>
      <c r="F269" s="53"/>
    </row>
    <row r="270">
      <c r="A270" s="148"/>
      <c r="B270" s="148"/>
      <c r="C270" s="53"/>
      <c r="D270" s="53"/>
      <c r="E270" s="53"/>
      <c r="F270" s="53"/>
    </row>
    <row r="271">
      <c r="A271" s="148"/>
      <c r="B271" s="148"/>
      <c r="C271" s="53"/>
      <c r="D271" s="53"/>
      <c r="E271" s="53"/>
      <c r="F271" s="53"/>
    </row>
    <row r="272">
      <c r="A272" s="148"/>
      <c r="B272" s="148"/>
      <c r="C272" s="53"/>
      <c r="D272" s="53"/>
      <c r="E272" s="53"/>
      <c r="F272" s="53"/>
    </row>
    <row r="273">
      <c r="A273" s="148"/>
      <c r="B273" s="148"/>
      <c r="C273" s="53"/>
      <c r="D273" s="53"/>
      <c r="E273" s="53"/>
      <c r="F273" s="53"/>
    </row>
    <row r="274">
      <c r="A274" s="148"/>
      <c r="B274" s="148"/>
      <c r="C274" s="53"/>
      <c r="D274" s="53"/>
      <c r="E274" s="53"/>
      <c r="F274" s="53"/>
    </row>
    <row r="275">
      <c r="A275" s="148"/>
      <c r="B275" s="148"/>
      <c r="C275" s="53"/>
      <c r="D275" s="53"/>
      <c r="E275" s="53"/>
      <c r="F275" s="53"/>
    </row>
    <row r="276">
      <c r="A276" s="148"/>
      <c r="B276" s="148"/>
      <c r="C276" s="53"/>
      <c r="D276" s="53"/>
      <c r="E276" s="53"/>
      <c r="F276" s="53"/>
    </row>
    <row r="277">
      <c r="A277" s="148"/>
      <c r="B277" s="148"/>
      <c r="C277" s="53"/>
      <c r="D277" s="53"/>
      <c r="E277" s="53"/>
      <c r="F277" s="53"/>
    </row>
    <row r="278">
      <c r="A278" s="148"/>
      <c r="B278" s="148"/>
      <c r="C278" s="53"/>
      <c r="D278" s="53"/>
      <c r="E278" s="53"/>
      <c r="F278" s="53"/>
    </row>
    <row r="279">
      <c r="A279" s="148"/>
      <c r="B279" s="148"/>
      <c r="C279" s="53"/>
      <c r="D279" s="53"/>
      <c r="E279" s="53"/>
      <c r="F279" s="53"/>
    </row>
    <row r="280">
      <c r="A280" s="148"/>
      <c r="B280" s="148"/>
      <c r="C280" s="53"/>
      <c r="D280" s="53"/>
      <c r="E280" s="53"/>
      <c r="F280" s="53"/>
    </row>
    <row r="281">
      <c r="A281" s="148"/>
      <c r="B281" s="148"/>
      <c r="C281" s="53"/>
      <c r="D281" s="53"/>
      <c r="E281" s="53"/>
      <c r="F281" s="53"/>
    </row>
    <row r="282">
      <c r="A282" s="148"/>
      <c r="B282" s="148"/>
      <c r="C282" s="53"/>
      <c r="D282" s="53"/>
      <c r="E282" s="53"/>
      <c r="F282" s="53"/>
    </row>
    <row r="283">
      <c r="A283" s="148"/>
      <c r="B283" s="148"/>
      <c r="C283" s="53"/>
      <c r="D283" s="53"/>
      <c r="E283" s="53"/>
      <c r="F283" s="53"/>
    </row>
    <row r="284">
      <c r="A284" s="148"/>
      <c r="B284" s="148"/>
      <c r="C284" s="53"/>
      <c r="D284" s="53"/>
      <c r="E284" s="53"/>
      <c r="F284" s="53"/>
    </row>
    <row r="285">
      <c r="A285" s="148"/>
      <c r="B285" s="148"/>
      <c r="C285" s="53"/>
      <c r="D285" s="53"/>
      <c r="E285" s="53"/>
      <c r="F285" s="53"/>
    </row>
    <row r="286">
      <c r="A286" s="148"/>
      <c r="B286" s="148"/>
      <c r="C286" s="53"/>
      <c r="D286" s="53"/>
      <c r="E286" s="53"/>
      <c r="F286" s="53"/>
    </row>
    <row r="287">
      <c r="A287" s="148"/>
      <c r="B287" s="148"/>
      <c r="C287" s="53"/>
      <c r="D287" s="53"/>
      <c r="E287" s="53"/>
      <c r="F287" s="53"/>
    </row>
    <row r="288">
      <c r="A288" s="148"/>
      <c r="B288" s="148"/>
      <c r="C288" s="53"/>
      <c r="D288" s="53"/>
      <c r="E288" s="53"/>
      <c r="F288" s="53"/>
    </row>
    <row r="289">
      <c r="A289" s="148"/>
      <c r="B289" s="148"/>
      <c r="C289" s="53"/>
      <c r="D289" s="53"/>
      <c r="E289" s="53"/>
      <c r="F289" s="53"/>
    </row>
    <row r="290">
      <c r="A290" s="148"/>
      <c r="B290" s="148"/>
      <c r="C290" s="53"/>
      <c r="D290" s="53"/>
      <c r="E290" s="53"/>
      <c r="F290" s="53"/>
    </row>
    <row r="291">
      <c r="A291" s="148"/>
      <c r="B291" s="148"/>
      <c r="C291" s="53"/>
      <c r="D291" s="53"/>
      <c r="E291" s="53"/>
      <c r="F291" s="53"/>
    </row>
    <row r="292">
      <c r="A292" s="148"/>
      <c r="B292" s="148"/>
      <c r="C292" s="53"/>
      <c r="D292" s="53"/>
      <c r="E292" s="53"/>
      <c r="F292" s="53"/>
    </row>
    <row r="293">
      <c r="A293" s="148"/>
      <c r="B293" s="148"/>
      <c r="C293" s="53"/>
      <c r="D293" s="53"/>
      <c r="E293" s="53"/>
      <c r="F293" s="53"/>
    </row>
    <row r="294">
      <c r="A294" s="148"/>
      <c r="B294" s="148"/>
      <c r="C294" s="53"/>
      <c r="D294" s="53"/>
      <c r="E294" s="53"/>
      <c r="F294" s="53"/>
    </row>
    <row r="295">
      <c r="A295" s="148"/>
      <c r="B295" s="148"/>
      <c r="C295" s="53"/>
      <c r="D295" s="53"/>
      <c r="E295" s="53"/>
      <c r="F295" s="53"/>
    </row>
    <row r="296">
      <c r="A296" s="148"/>
      <c r="B296" s="148"/>
      <c r="C296" s="53"/>
      <c r="D296" s="53"/>
      <c r="E296" s="53"/>
      <c r="F296" s="53"/>
    </row>
    <row r="297">
      <c r="A297" s="148"/>
      <c r="B297" s="148"/>
      <c r="C297" s="53"/>
      <c r="D297" s="53"/>
      <c r="E297" s="53"/>
      <c r="F297" s="53"/>
    </row>
    <row r="298">
      <c r="A298" s="148"/>
      <c r="B298" s="148"/>
      <c r="C298" s="53"/>
      <c r="D298" s="53"/>
      <c r="E298" s="53"/>
      <c r="F298" s="53"/>
    </row>
    <row r="299">
      <c r="A299" s="148"/>
      <c r="B299" s="148"/>
      <c r="C299" s="53"/>
      <c r="D299" s="53"/>
      <c r="E299" s="53"/>
      <c r="F299" s="53"/>
    </row>
    <row r="300">
      <c r="A300" s="148"/>
      <c r="B300" s="148"/>
      <c r="C300" s="53"/>
      <c r="D300" s="53"/>
      <c r="E300" s="53"/>
      <c r="F300" s="53"/>
    </row>
    <row r="301">
      <c r="A301" s="148"/>
      <c r="B301" s="148"/>
      <c r="C301" s="53"/>
      <c r="D301" s="53"/>
      <c r="E301" s="53"/>
      <c r="F301" s="53"/>
    </row>
    <row r="302">
      <c r="A302" s="148"/>
      <c r="B302" s="148"/>
      <c r="C302" s="53"/>
      <c r="D302" s="53"/>
      <c r="E302" s="53"/>
      <c r="F302" s="53"/>
    </row>
    <row r="303">
      <c r="A303" s="148"/>
      <c r="B303" s="148"/>
      <c r="C303" s="53"/>
      <c r="D303" s="53"/>
      <c r="E303" s="53"/>
      <c r="F303" s="53"/>
    </row>
    <row r="304">
      <c r="A304" s="148"/>
      <c r="B304" s="148"/>
      <c r="C304" s="53"/>
      <c r="D304" s="53"/>
      <c r="E304" s="53"/>
      <c r="F304" s="53"/>
    </row>
    <row r="305">
      <c r="A305" s="148"/>
      <c r="B305" s="148"/>
      <c r="C305" s="53"/>
      <c r="D305" s="53"/>
      <c r="E305" s="53"/>
      <c r="F305" s="53"/>
    </row>
    <row r="306">
      <c r="A306" s="148"/>
      <c r="B306" s="148"/>
      <c r="C306" s="53"/>
      <c r="D306" s="53"/>
      <c r="E306" s="53"/>
      <c r="F306" s="53"/>
    </row>
    <row r="307">
      <c r="A307" s="148"/>
      <c r="B307" s="148"/>
      <c r="C307" s="53"/>
      <c r="D307" s="53"/>
      <c r="E307" s="53"/>
      <c r="F307" s="53"/>
    </row>
    <row r="308">
      <c r="A308" s="148"/>
      <c r="B308" s="148"/>
      <c r="C308" s="53"/>
      <c r="D308" s="53"/>
      <c r="E308" s="53"/>
      <c r="F308" s="53"/>
    </row>
    <row r="309">
      <c r="A309" s="148"/>
      <c r="B309" s="148"/>
      <c r="C309" s="53"/>
      <c r="D309" s="53"/>
      <c r="E309" s="53"/>
      <c r="F309" s="53"/>
    </row>
    <row r="310">
      <c r="A310" s="148"/>
      <c r="B310" s="148"/>
      <c r="C310" s="53"/>
      <c r="D310" s="53"/>
      <c r="E310" s="53"/>
      <c r="F310" s="53"/>
    </row>
    <row r="311">
      <c r="A311" s="148"/>
      <c r="B311" s="148"/>
      <c r="C311" s="53"/>
      <c r="D311" s="53"/>
      <c r="E311" s="53"/>
      <c r="F311" s="53"/>
    </row>
    <row r="312">
      <c r="A312" s="148"/>
      <c r="B312" s="148"/>
      <c r="C312" s="53"/>
      <c r="D312" s="53"/>
      <c r="E312" s="53"/>
      <c r="F312" s="53"/>
    </row>
    <row r="313">
      <c r="A313" s="148"/>
      <c r="B313" s="148"/>
      <c r="C313" s="53"/>
      <c r="D313" s="53"/>
      <c r="E313" s="53"/>
      <c r="F313" s="53"/>
    </row>
    <row r="314">
      <c r="A314" s="148"/>
      <c r="B314" s="148"/>
      <c r="C314" s="53"/>
      <c r="D314" s="53"/>
      <c r="E314" s="53"/>
      <c r="F314" s="53"/>
    </row>
    <row r="315">
      <c r="A315" s="148"/>
      <c r="B315" s="148"/>
      <c r="C315" s="53"/>
      <c r="D315" s="53"/>
      <c r="E315" s="53"/>
      <c r="F315" s="53"/>
    </row>
    <row r="316">
      <c r="A316" s="148"/>
      <c r="B316" s="148"/>
      <c r="C316" s="53"/>
      <c r="D316" s="53"/>
      <c r="E316" s="53"/>
      <c r="F316" s="53"/>
    </row>
    <row r="317">
      <c r="A317" s="148"/>
      <c r="B317" s="148"/>
      <c r="C317" s="53"/>
      <c r="D317" s="53"/>
      <c r="E317" s="53"/>
      <c r="F317" s="53"/>
    </row>
    <row r="318">
      <c r="A318" s="148"/>
      <c r="B318" s="148"/>
      <c r="C318" s="53"/>
      <c r="D318" s="53"/>
      <c r="E318" s="53"/>
      <c r="F318" s="53"/>
    </row>
    <row r="319">
      <c r="A319" s="148"/>
      <c r="B319" s="148"/>
      <c r="C319" s="53"/>
      <c r="D319" s="53"/>
      <c r="E319" s="53"/>
      <c r="F319" s="53"/>
    </row>
    <row r="320">
      <c r="A320" s="148"/>
      <c r="B320" s="148"/>
      <c r="C320" s="53"/>
      <c r="D320" s="53"/>
      <c r="E320" s="53"/>
      <c r="F320" s="53"/>
    </row>
    <row r="321">
      <c r="A321" s="148"/>
      <c r="B321" s="148"/>
      <c r="C321" s="53"/>
      <c r="D321" s="53"/>
      <c r="E321" s="53"/>
      <c r="F321" s="53"/>
    </row>
    <row r="322">
      <c r="A322" s="148"/>
      <c r="B322" s="148"/>
      <c r="C322" s="53"/>
      <c r="D322" s="53"/>
      <c r="E322" s="53"/>
      <c r="F322" s="53"/>
    </row>
    <row r="323">
      <c r="A323" s="148"/>
      <c r="B323" s="148"/>
      <c r="C323" s="53"/>
      <c r="D323" s="53"/>
      <c r="E323" s="53"/>
      <c r="F323" s="53"/>
    </row>
    <row r="324">
      <c r="A324" s="148"/>
      <c r="B324" s="148"/>
      <c r="C324" s="53"/>
      <c r="D324" s="53"/>
      <c r="E324" s="53"/>
      <c r="F324" s="53"/>
    </row>
    <row r="325">
      <c r="A325" s="148"/>
      <c r="B325" s="148"/>
      <c r="C325" s="53"/>
      <c r="D325" s="53"/>
      <c r="E325" s="53"/>
      <c r="F325" s="53"/>
    </row>
    <row r="326">
      <c r="A326" s="148"/>
      <c r="B326" s="148"/>
      <c r="C326" s="53"/>
      <c r="D326" s="53"/>
      <c r="E326" s="53"/>
      <c r="F326" s="53"/>
    </row>
    <row r="327">
      <c r="A327" s="148"/>
      <c r="B327" s="148"/>
      <c r="C327" s="53"/>
      <c r="D327" s="53"/>
      <c r="E327" s="53"/>
      <c r="F327" s="53"/>
    </row>
    <row r="328">
      <c r="A328" s="148"/>
      <c r="B328" s="148"/>
      <c r="C328" s="53"/>
      <c r="D328" s="53"/>
      <c r="E328" s="53"/>
      <c r="F328" s="53"/>
    </row>
    <row r="329">
      <c r="A329" s="148"/>
      <c r="B329" s="148"/>
      <c r="C329" s="53"/>
      <c r="D329" s="53"/>
      <c r="E329" s="53"/>
      <c r="F329" s="53"/>
    </row>
    <row r="330">
      <c r="A330" s="148"/>
      <c r="B330" s="148"/>
      <c r="C330" s="53"/>
      <c r="D330" s="53"/>
      <c r="E330" s="53"/>
      <c r="F330" s="53"/>
    </row>
    <row r="331">
      <c r="A331" s="148"/>
      <c r="B331" s="148"/>
      <c r="C331" s="53"/>
      <c r="D331" s="53"/>
      <c r="E331" s="53"/>
      <c r="F331" s="53"/>
    </row>
    <row r="332">
      <c r="A332" s="148"/>
      <c r="B332" s="148"/>
      <c r="C332" s="53"/>
      <c r="D332" s="53"/>
      <c r="E332" s="53"/>
      <c r="F332" s="53"/>
    </row>
    <row r="333">
      <c r="A333" s="148"/>
      <c r="B333" s="148"/>
      <c r="C333" s="53"/>
      <c r="D333" s="53"/>
      <c r="E333" s="53"/>
      <c r="F333" s="53"/>
    </row>
    <row r="334">
      <c r="A334" s="148"/>
      <c r="B334" s="148"/>
      <c r="C334" s="53"/>
      <c r="D334" s="53"/>
      <c r="E334" s="53"/>
      <c r="F334" s="53"/>
    </row>
    <row r="335">
      <c r="A335" s="148"/>
      <c r="B335" s="148"/>
      <c r="C335" s="53"/>
      <c r="D335" s="53"/>
      <c r="E335" s="53"/>
      <c r="F335" s="53"/>
    </row>
    <row r="336">
      <c r="A336" s="148"/>
      <c r="B336" s="148"/>
      <c r="C336" s="53"/>
      <c r="D336" s="53"/>
      <c r="E336" s="53"/>
      <c r="F336" s="53"/>
    </row>
    <row r="337">
      <c r="A337" s="148"/>
      <c r="B337" s="148"/>
      <c r="C337" s="53"/>
      <c r="D337" s="53"/>
      <c r="E337" s="53"/>
      <c r="F337" s="53"/>
    </row>
    <row r="338">
      <c r="A338" s="148"/>
      <c r="B338" s="148"/>
      <c r="C338" s="53"/>
      <c r="D338" s="53"/>
      <c r="E338" s="53"/>
      <c r="F338" s="53"/>
    </row>
    <row r="339">
      <c r="A339" s="148"/>
      <c r="B339" s="148"/>
      <c r="C339" s="53"/>
      <c r="D339" s="53"/>
      <c r="E339" s="53"/>
      <c r="F339" s="53"/>
    </row>
    <row r="340">
      <c r="A340" s="148"/>
      <c r="B340" s="148"/>
      <c r="C340" s="53"/>
      <c r="D340" s="53"/>
      <c r="E340" s="53"/>
      <c r="F340" s="53"/>
    </row>
    <row r="341">
      <c r="A341" s="148"/>
      <c r="B341" s="148"/>
      <c r="C341" s="53"/>
      <c r="D341" s="53"/>
      <c r="E341" s="53"/>
      <c r="F341" s="53"/>
    </row>
    <row r="342">
      <c r="A342" s="148"/>
      <c r="B342" s="148"/>
      <c r="C342" s="53"/>
      <c r="D342" s="53"/>
      <c r="E342" s="53"/>
      <c r="F342" s="53"/>
    </row>
    <row r="343">
      <c r="A343" s="148"/>
      <c r="B343" s="148"/>
      <c r="C343" s="53"/>
      <c r="D343" s="53"/>
      <c r="E343" s="53"/>
      <c r="F343" s="53"/>
    </row>
    <row r="344">
      <c r="A344" s="148"/>
      <c r="B344" s="148"/>
      <c r="C344" s="53"/>
      <c r="D344" s="53"/>
      <c r="E344" s="53"/>
      <c r="F344" s="53"/>
    </row>
    <row r="345">
      <c r="A345" s="148"/>
      <c r="B345" s="148"/>
      <c r="C345" s="53"/>
      <c r="D345" s="53"/>
      <c r="E345" s="53"/>
      <c r="F345" s="53"/>
    </row>
    <row r="346">
      <c r="A346" s="148"/>
      <c r="B346" s="148"/>
      <c r="C346" s="53"/>
      <c r="D346" s="53"/>
      <c r="E346" s="53"/>
      <c r="F346" s="53"/>
    </row>
    <row r="347">
      <c r="A347" s="148"/>
      <c r="B347" s="148"/>
      <c r="C347" s="53"/>
      <c r="D347" s="53"/>
      <c r="E347" s="53"/>
      <c r="F347" s="53"/>
    </row>
    <row r="348">
      <c r="A348" s="148"/>
      <c r="B348" s="148"/>
      <c r="C348" s="53"/>
      <c r="D348" s="53"/>
      <c r="E348" s="53"/>
      <c r="F348" s="53"/>
    </row>
    <row r="349">
      <c r="A349" s="148"/>
      <c r="B349" s="148"/>
      <c r="C349" s="53"/>
      <c r="D349" s="53"/>
      <c r="E349" s="53"/>
      <c r="F349" s="53"/>
    </row>
    <row r="350">
      <c r="A350" s="148"/>
      <c r="B350" s="148"/>
      <c r="C350" s="53"/>
      <c r="D350" s="53"/>
      <c r="E350" s="53"/>
      <c r="F350" s="53"/>
    </row>
    <row r="351">
      <c r="A351" s="148"/>
      <c r="B351" s="148"/>
      <c r="C351" s="53"/>
      <c r="D351" s="53"/>
      <c r="E351" s="53"/>
      <c r="F351" s="53"/>
    </row>
    <row r="352">
      <c r="A352" s="148"/>
      <c r="B352" s="148"/>
      <c r="C352" s="53"/>
      <c r="D352" s="53"/>
      <c r="E352" s="53"/>
      <c r="F352" s="53"/>
    </row>
    <row r="353">
      <c r="A353" s="148"/>
      <c r="B353" s="148"/>
      <c r="C353" s="53"/>
      <c r="D353" s="53"/>
      <c r="E353" s="53"/>
      <c r="F353" s="53"/>
    </row>
    <row r="354">
      <c r="A354" s="148"/>
      <c r="B354" s="148"/>
      <c r="C354" s="53"/>
      <c r="D354" s="53"/>
      <c r="E354" s="53"/>
      <c r="F354" s="53"/>
    </row>
    <row r="355">
      <c r="A355" s="148"/>
      <c r="B355" s="148"/>
      <c r="C355" s="53"/>
      <c r="D355" s="53"/>
      <c r="E355" s="53"/>
      <c r="F355" s="53"/>
    </row>
    <row r="356">
      <c r="A356" s="148"/>
      <c r="B356" s="148"/>
      <c r="C356" s="53"/>
      <c r="D356" s="53"/>
      <c r="E356" s="53"/>
      <c r="F356" s="53"/>
    </row>
    <row r="357">
      <c r="A357" s="148"/>
      <c r="B357" s="148"/>
      <c r="C357" s="53"/>
      <c r="D357" s="53"/>
      <c r="E357" s="53"/>
      <c r="F357" s="53"/>
    </row>
    <row r="358">
      <c r="A358" s="148"/>
      <c r="B358" s="148"/>
      <c r="C358" s="53"/>
      <c r="D358" s="53"/>
      <c r="E358" s="53"/>
      <c r="F358" s="53"/>
    </row>
    <row r="359">
      <c r="A359" s="148"/>
      <c r="B359" s="148"/>
      <c r="C359" s="53"/>
      <c r="D359" s="53"/>
      <c r="E359" s="53"/>
      <c r="F359" s="53"/>
    </row>
    <row r="360">
      <c r="A360" s="148"/>
      <c r="B360" s="148"/>
      <c r="C360" s="53"/>
      <c r="D360" s="53"/>
      <c r="E360" s="53"/>
      <c r="F360" s="53"/>
    </row>
    <row r="361">
      <c r="A361" s="148"/>
      <c r="B361" s="148"/>
      <c r="C361" s="53"/>
      <c r="D361" s="53"/>
      <c r="E361" s="53"/>
      <c r="F361" s="53"/>
    </row>
    <row r="362">
      <c r="A362" s="148"/>
      <c r="B362" s="148"/>
      <c r="C362" s="53"/>
      <c r="D362" s="53"/>
      <c r="E362" s="53"/>
      <c r="F362" s="53"/>
    </row>
    <row r="363">
      <c r="A363" s="148"/>
      <c r="B363" s="148"/>
      <c r="C363" s="53"/>
      <c r="D363" s="53"/>
      <c r="E363" s="53"/>
      <c r="F363" s="53"/>
    </row>
    <row r="364">
      <c r="A364" s="148"/>
      <c r="B364" s="148"/>
      <c r="C364" s="53"/>
      <c r="D364" s="53"/>
      <c r="E364" s="53"/>
      <c r="F364" s="53"/>
    </row>
    <row r="365">
      <c r="A365" s="148"/>
      <c r="B365" s="148"/>
      <c r="C365" s="53"/>
      <c r="D365" s="53"/>
      <c r="E365" s="53"/>
      <c r="F365" s="53"/>
    </row>
    <row r="366">
      <c r="A366" s="148"/>
      <c r="B366" s="148"/>
      <c r="C366" s="53"/>
      <c r="D366" s="53"/>
      <c r="E366" s="53"/>
      <c r="F366" s="53"/>
    </row>
    <row r="367">
      <c r="A367" s="148"/>
      <c r="B367" s="148"/>
      <c r="C367" s="53"/>
      <c r="D367" s="53"/>
      <c r="E367" s="53"/>
      <c r="F367" s="53"/>
    </row>
    <row r="368">
      <c r="A368" s="148"/>
      <c r="B368" s="148"/>
      <c r="C368" s="53"/>
      <c r="D368" s="53"/>
      <c r="E368" s="53"/>
      <c r="F368" s="53"/>
    </row>
    <row r="369">
      <c r="A369" s="148"/>
      <c r="B369" s="148"/>
      <c r="C369" s="53"/>
      <c r="D369" s="53"/>
      <c r="E369" s="53"/>
      <c r="F369" s="53"/>
    </row>
    <row r="370">
      <c r="A370" s="148"/>
      <c r="B370" s="148"/>
      <c r="C370" s="53"/>
      <c r="D370" s="53"/>
      <c r="E370" s="53"/>
      <c r="F370" s="53"/>
    </row>
    <row r="371">
      <c r="A371" s="148"/>
      <c r="B371" s="148"/>
      <c r="C371" s="53"/>
      <c r="D371" s="53"/>
      <c r="E371" s="53"/>
      <c r="F371" s="53"/>
    </row>
    <row r="372">
      <c r="A372" s="148"/>
      <c r="B372" s="148"/>
      <c r="C372" s="53"/>
      <c r="D372" s="53"/>
      <c r="E372" s="53"/>
      <c r="F372" s="53"/>
    </row>
    <row r="373">
      <c r="A373" s="148"/>
      <c r="B373" s="148"/>
      <c r="C373" s="53"/>
      <c r="D373" s="53"/>
      <c r="E373" s="53"/>
      <c r="F373" s="53"/>
    </row>
    <row r="374">
      <c r="A374" s="148"/>
      <c r="B374" s="148"/>
      <c r="C374" s="53"/>
      <c r="D374" s="53"/>
      <c r="E374" s="53"/>
      <c r="F374" s="53"/>
    </row>
    <row r="375">
      <c r="A375" s="148"/>
      <c r="B375" s="148"/>
      <c r="C375" s="53"/>
      <c r="D375" s="53"/>
      <c r="E375" s="53"/>
      <c r="F375" s="53"/>
    </row>
    <row r="376">
      <c r="A376" s="148"/>
      <c r="B376" s="148"/>
      <c r="C376" s="53"/>
      <c r="D376" s="53"/>
      <c r="E376" s="53"/>
      <c r="F376" s="53"/>
    </row>
    <row r="377">
      <c r="A377" s="148"/>
      <c r="B377" s="148"/>
      <c r="C377" s="53"/>
      <c r="D377" s="53"/>
      <c r="E377" s="53"/>
      <c r="F377" s="53"/>
    </row>
    <row r="378">
      <c r="A378" s="148"/>
      <c r="B378" s="148"/>
      <c r="C378" s="53"/>
      <c r="D378" s="53"/>
      <c r="E378" s="53"/>
      <c r="F378" s="53"/>
    </row>
    <row r="379">
      <c r="A379" s="148"/>
      <c r="B379" s="148"/>
      <c r="C379" s="53"/>
      <c r="D379" s="53"/>
      <c r="E379" s="53"/>
      <c r="F379" s="53"/>
    </row>
    <row r="380">
      <c r="A380" s="148"/>
      <c r="B380" s="148"/>
      <c r="C380" s="53"/>
      <c r="D380" s="53"/>
      <c r="E380" s="53"/>
      <c r="F380" s="53"/>
    </row>
    <row r="381">
      <c r="A381" s="148"/>
      <c r="B381" s="148"/>
      <c r="C381" s="53"/>
      <c r="D381" s="53"/>
      <c r="E381" s="53"/>
      <c r="F381" s="53"/>
    </row>
    <row r="382">
      <c r="A382" s="148"/>
      <c r="B382" s="148"/>
      <c r="C382" s="53"/>
      <c r="D382" s="53"/>
      <c r="E382" s="53"/>
      <c r="F382" s="53"/>
    </row>
    <row r="383">
      <c r="A383" s="148"/>
      <c r="B383" s="148"/>
      <c r="C383" s="53"/>
      <c r="D383" s="53"/>
      <c r="E383" s="53"/>
      <c r="F383" s="53"/>
    </row>
    <row r="384">
      <c r="A384" s="148"/>
      <c r="B384" s="148"/>
      <c r="C384" s="53"/>
      <c r="D384" s="53"/>
      <c r="E384" s="53"/>
      <c r="F384" s="53"/>
    </row>
    <row r="385">
      <c r="A385" s="148"/>
      <c r="B385" s="148"/>
      <c r="C385" s="53"/>
      <c r="D385" s="53"/>
      <c r="E385" s="53"/>
      <c r="F385" s="53"/>
    </row>
    <row r="386">
      <c r="A386" s="148"/>
      <c r="B386" s="148"/>
      <c r="C386" s="53"/>
      <c r="D386" s="53"/>
      <c r="E386" s="53"/>
      <c r="F386" s="53"/>
    </row>
    <row r="387">
      <c r="A387" s="148"/>
      <c r="B387" s="148"/>
      <c r="C387" s="53"/>
      <c r="D387" s="53"/>
      <c r="E387" s="53"/>
      <c r="F387" s="53"/>
    </row>
    <row r="388">
      <c r="A388" s="148"/>
      <c r="B388" s="148"/>
      <c r="C388" s="53"/>
      <c r="D388" s="53"/>
      <c r="E388" s="53"/>
      <c r="F388" s="53"/>
    </row>
    <row r="389">
      <c r="A389" s="148"/>
      <c r="B389" s="148"/>
      <c r="C389" s="53"/>
      <c r="D389" s="53"/>
      <c r="E389" s="53"/>
      <c r="F389" s="53"/>
    </row>
    <row r="390">
      <c r="A390" s="148"/>
      <c r="B390" s="148"/>
      <c r="C390" s="53"/>
      <c r="D390" s="53"/>
      <c r="E390" s="53"/>
      <c r="F390" s="53"/>
    </row>
    <row r="391">
      <c r="A391" s="148"/>
      <c r="B391" s="148"/>
      <c r="C391" s="53"/>
      <c r="D391" s="53"/>
      <c r="E391" s="53"/>
      <c r="F391" s="53"/>
    </row>
    <row r="392">
      <c r="A392" s="148"/>
      <c r="B392" s="148"/>
      <c r="C392" s="53"/>
      <c r="D392" s="53"/>
      <c r="E392" s="53"/>
      <c r="F392" s="53"/>
    </row>
    <row r="393">
      <c r="A393" s="148"/>
      <c r="B393" s="148"/>
      <c r="C393" s="53"/>
      <c r="D393" s="53"/>
      <c r="E393" s="53"/>
      <c r="F393" s="53"/>
    </row>
    <row r="394">
      <c r="A394" s="148"/>
      <c r="B394" s="148"/>
      <c r="C394" s="53"/>
      <c r="D394" s="53"/>
      <c r="E394" s="53"/>
      <c r="F394" s="53"/>
    </row>
    <row r="395">
      <c r="A395" s="148"/>
      <c r="B395" s="148"/>
      <c r="C395" s="53"/>
      <c r="D395" s="53"/>
      <c r="E395" s="53"/>
      <c r="F395" s="53"/>
    </row>
    <row r="396">
      <c r="A396" s="148"/>
      <c r="B396" s="148"/>
      <c r="C396" s="53"/>
      <c r="D396" s="53"/>
      <c r="E396" s="53"/>
      <c r="F396" s="53"/>
    </row>
    <row r="397">
      <c r="A397" s="148"/>
      <c r="B397" s="148"/>
      <c r="C397" s="53"/>
      <c r="D397" s="53"/>
      <c r="E397" s="53"/>
      <c r="F397" s="53"/>
    </row>
    <row r="398">
      <c r="A398" s="148"/>
      <c r="B398" s="148"/>
      <c r="C398" s="53"/>
      <c r="D398" s="53"/>
      <c r="E398" s="53"/>
      <c r="F398" s="53"/>
    </row>
    <row r="399">
      <c r="A399" s="148"/>
      <c r="B399" s="148"/>
      <c r="C399" s="53"/>
      <c r="D399" s="53"/>
      <c r="E399" s="53"/>
      <c r="F399" s="53"/>
    </row>
    <row r="400">
      <c r="A400" s="148"/>
      <c r="B400" s="148"/>
      <c r="C400" s="53"/>
      <c r="D400" s="53"/>
      <c r="E400" s="53"/>
      <c r="F400" s="53"/>
    </row>
    <row r="401">
      <c r="A401" s="148"/>
      <c r="B401" s="148"/>
      <c r="C401" s="53"/>
      <c r="D401" s="53"/>
      <c r="E401" s="53"/>
      <c r="F401" s="53"/>
    </row>
    <row r="402">
      <c r="A402" s="148"/>
      <c r="B402" s="148"/>
      <c r="C402" s="53"/>
      <c r="D402" s="53"/>
      <c r="E402" s="53"/>
      <c r="F402" s="53"/>
    </row>
    <row r="403">
      <c r="A403" s="148"/>
      <c r="B403" s="148"/>
      <c r="C403" s="53"/>
      <c r="D403" s="53"/>
      <c r="E403" s="53"/>
      <c r="F403" s="53"/>
    </row>
    <row r="404">
      <c r="A404" s="148"/>
      <c r="B404" s="148"/>
      <c r="C404" s="53"/>
      <c r="D404" s="53"/>
      <c r="E404" s="53"/>
      <c r="F404" s="53"/>
    </row>
    <row r="405">
      <c r="A405" s="148"/>
      <c r="B405" s="148"/>
      <c r="C405" s="53"/>
      <c r="D405" s="53"/>
      <c r="E405" s="53"/>
      <c r="F405" s="53"/>
    </row>
    <row r="406">
      <c r="A406" s="148"/>
      <c r="B406" s="148"/>
      <c r="C406" s="53"/>
      <c r="D406" s="53"/>
      <c r="E406" s="53"/>
      <c r="F406" s="53"/>
    </row>
    <row r="407">
      <c r="A407" s="148"/>
      <c r="B407" s="148"/>
      <c r="C407" s="53"/>
      <c r="D407" s="53"/>
      <c r="E407" s="53"/>
      <c r="F407" s="53"/>
    </row>
    <row r="408">
      <c r="A408" s="148"/>
      <c r="B408" s="148"/>
      <c r="C408" s="53"/>
      <c r="D408" s="53"/>
      <c r="E408" s="53"/>
      <c r="F408" s="53"/>
    </row>
    <row r="409">
      <c r="A409" s="148"/>
      <c r="B409" s="148"/>
      <c r="C409" s="53"/>
      <c r="D409" s="53"/>
      <c r="E409" s="53"/>
      <c r="F409" s="53"/>
    </row>
    <row r="410">
      <c r="A410" s="148"/>
      <c r="B410" s="148"/>
      <c r="C410" s="53"/>
      <c r="D410" s="53"/>
      <c r="E410" s="53"/>
      <c r="F410" s="53"/>
    </row>
    <row r="411">
      <c r="A411" s="148"/>
      <c r="B411" s="148"/>
      <c r="C411" s="53"/>
      <c r="D411" s="53"/>
      <c r="E411" s="53"/>
      <c r="F411" s="53"/>
    </row>
    <row r="412">
      <c r="A412" s="148"/>
      <c r="B412" s="148"/>
      <c r="C412" s="53"/>
      <c r="D412" s="53"/>
      <c r="E412" s="53"/>
      <c r="F412" s="53"/>
    </row>
    <row r="413">
      <c r="A413" s="148"/>
      <c r="B413" s="148"/>
      <c r="C413" s="53"/>
      <c r="D413" s="53"/>
      <c r="E413" s="53"/>
      <c r="F413" s="53"/>
    </row>
    <row r="414">
      <c r="A414" s="148"/>
      <c r="B414" s="148"/>
      <c r="C414" s="53"/>
      <c r="D414" s="53"/>
      <c r="E414" s="53"/>
      <c r="F414" s="53"/>
    </row>
    <row r="415">
      <c r="A415" s="148"/>
      <c r="B415" s="148"/>
      <c r="C415" s="53"/>
      <c r="D415" s="53"/>
      <c r="E415" s="53"/>
      <c r="F415" s="53"/>
    </row>
    <row r="416">
      <c r="A416" s="148"/>
      <c r="B416" s="148"/>
      <c r="C416" s="53"/>
      <c r="D416" s="53"/>
      <c r="E416" s="53"/>
      <c r="F416" s="53"/>
    </row>
    <row r="417">
      <c r="A417" s="148"/>
      <c r="B417" s="148"/>
      <c r="C417" s="53"/>
      <c r="D417" s="53"/>
      <c r="E417" s="53"/>
      <c r="F417" s="53"/>
    </row>
    <row r="418">
      <c r="A418" s="148"/>
      <c r="B418" s="148"/>
      <c r="C418" s="53"/>
      <c r="D418" s="53"/>
      <c r="E418" s="53"/>
      <c r="F418" s="53"/>
    </row>
    <row r="419">
      <c r="A419" s="148"/>
      <c r="B419" s="148"/>
      <c r="C419" s="53"/>
      <c r="D419" s="53"/>
      <c r="E419" s="53"/>
      <c r="F419" s="53"/>
    </row>
    <row r="420">
      <c r="A420" s="148"/>
      <c r="B420" s="148"/>
      <c r="C420" s="53"/>
      <c r="D420" s="53"/>
      <c r="E420" s="53"/>
      <c r="F420" s="53"/>
    </row>
    <row r="421">
      <c r="A421" s="148"/>
      <c r="B421" s="148"/>
      <c r="C421" s="53"/>
      <c r="D421" s="53"/>
      <c r="E421" s="53"/>
      <c r="F421" s="53"/>
    </row>
    <row r="422">
      <c r="A422" s="148"/>
      <c r="B422" s="148"/>
      <c r="C422" s="53"/>
      <c r="D422" s="53"/>
      <c r="E422" s="53"/>
      <c r="F422" s="53"/>
    </row>
    <row r="423">
      <c r="A423" s="148"/>
      <c r="B423" s="148"/>
      <c r="C423" s="53"/>
      <c r="D423" s="53"/>
      <c r="E423" s="53"/>
      <c r="F423" s="53"/>
    </row>
    <row r="424">
      <c r="A424" s="148"/>
      <c r="B424" s="148"/>
      <c r="C424" s="53"/>
      <c r="D424" s="53"/>
      <c r="E424" s="53"/>
      <c r="F424" s="53"/>
    </row>
    <row r="425">
      <c r="A425" s="148"/>
      <c r="B425" s="148"/>
      <c r="C425" s="53"/>
      <c r="D425" s="53"/>
      <c r="E425" s="53"/>
      <c r="F425" s="53"/>
    </row>
    <row r="426">
      <c r="A426" s="148"/>
      <c r="B426" s="148"/>
      <c r="C426" s="53"/>
      <c r="D426" s="53"/>
      <c r="E426" s="53"/>
      <c r="F426" s="53"/>
    </row>
    <row r="427">
      <c r="A427" s="148"/>
      <c r="B427" s="148"/>
      <c r="C427" s="53"/>
      <c r="D427" s="53"/>
      <c r="E427" s="53"/>
      <c r="F427" s="53"/>
    </row>
    <row r="428">
      <c r="A428" s="148"/>
      <c r="B428" s="148"/>
      <c r="C428" s="53"/>
      <c r="D428" s="53"/>
      <c r="E428" s="53"/>
      <c r="F428" s="53"/>
    </row>
    <row r="429">
      <c r="A429" s="148"/>
      <c r="B429" s="148"/>
      <c r="C429" s="53"/>
      <c r="D429" s="53"/>
      <c r="E429" s="53"/>
      <c r="F429" s="53"/>
    </row>
    <row r="430">
      <c r="A430" s="148"/>
      <c r="B430" s="148"/>
      <c r="C430" s="53"/>
      <c r="D430" s="53"/>
      <c r="E430" s="53"/>
      <c r="F430" s="53"/>
    </row>
    <row r="431">
      <c r="A431" s="148"/>
      <c r="B431" s="148"/>
      <c r="C431" s="53"/>
      <c r="D431" s="53"/>
      <c r="E431" s="53"/>
      <c r="F431" s="53"/>
    </row>
    <row r="432">
      <c r="A432" s="148"/>
      <c r="B432" s="148"/>
      <c r="C432" s="53"/>
      <c r="D432" s="53"/>
      <c r="E432" s="53"/>
      <c r="F432" s="53"/>
    </row>
    <row r="433">
      <c r="A433" s="148"/>
      <c r="B433" s="148"/>
      <c r="C433" s="53"/>
      <c r="D433" s="53"/>
      <c r="E433" s="53"/>
      <c r="F433" s="53"/>
    </row>
    <row r="434">
      <c r="A434" s="148"/>
      <c r="B434" s="148"/>
      <c r="C434" s="53"/>
      <c r="D434" s="53"/>
      <c r="E434" s="53"/>
      <c r="F434" s="53"/>
    </row>
    <row r="435">
      <c r="A435" s="148"/>
      <c r="B435" s="148"/>
      <c r="C435" s="53"/>
      <c r="D435" s="53"/>
      <c r="E435" s="53"/>
      <c r="F435" s="53"/>
    </row>
    <row r="436">
      <c r="A436" s="148"/>
      <c r="B436" s="148"/>
      <c r="C436" s="53"/>
      <c r="D436" s="53"/>
      <c r="E436" s="53"/>
      <c r="F436" s="53"/>
    </row>
    <row r="437">
      <c r="A437" s="148"/>
      <c r="B437" s="148"/>
      <c r="C437" s="53"/>
      <c r="D437" s="53"/>
      <c r="E437" s="53"/>
      <c r="F437" s="53"/>
    </row>
    <row r="438">
      <c r="A438" s="148"/>
      <c r="B438" s="148"/>
      <c r="C438" s="53"/>
      <c r="D438" s="53"/>
      <c r="E438" s="53"/>
      <c r="F438" s="53"/>
    </row>
    <row r="439">
      <c r="A439" s="148"/>
      <c r="B439" s="148"/>
      <c r="C439" s="53"/>
      <c r="D439" s="53"/>
      <c r="E439" s="53"/>
      <c r="F439" s="53"/>
    </row>
    <row r="440">
      <c r="A440" s="148"/>
      <c r="B440" s="148"/>
      <c r="C440" s="53"/>
      <c r="D440" s="53"/>
      <c r="E440" s="53"/>
      <c r="F440" s="53"/>
    </row>
    <row r="441">
      <c r="A441" s="148"/>
      <c r="B441" s="148"/>
      <c r="C441" s="53"/>
      <c r="D441" s="53"/>
      <c r="E441" s="53"/>
      <c r="F441" s="53"/>
    </row>
    <row r="442">
      <c r="A442" s="148"/>
      <c r="B442" s="148"/>
      <c r="C442" s="53"/>
      <c r="D442" s="53"/>
      <c r="E442" s="53"/>
      <c r="F442" s="53"/>
    </row>
    <row r="443">
      <c r="A443" s="148"/>
      <c r="B443" s="148"/>
      <c r="C443" s="53"/>
      <c r="D443" s="53"/>
      <c r="E443" s="53"/>
      <c r="F443" s="53"/>
    </row>
    <row r="444">
      <c r="A444" s="148"/>
      <c r="B444" s="148"/>
      <c r="C444" s="53"/>
      <c r="D444" s="53"/>
      <c r="E444" s="53"/>
      <c r="F444" s="53"/>
    </row>
    <row r="445">
      <c r="A445" s="148"/>
      <c r="B445" s="148"/>
      <c r="C445" s="53"/>
      <c r="D445" s="53"/>
      <c r="E445" s="53"/>
      <c r="F445" s="53"/>
    </row>
    <row r="446">
      <c r="A446" s="148"/>
      <c r="B446" s="148"/>
      <c r="C446" s="53"/>
      <c r="D446" s="53"/>
      <c r="E446" s="53"/>
      <c r="F446" s="53"/>
    </row>
    <row r="447">
      <c r="A447" s="148"/>
      <c r="B447" s="148"/>
      <c r="C447" s="53"/>
      <c r="D447" s="53"/>
      <c r="E447" s="53"/>
      <c r="F447" s="53"/>
    </row>
    <row r="448">
      <c r="A448" s="148"/>
      <c r="B448" s="148"/>
      <c r="C448" s="53"/>
      <c r="D448" s="53"/>
      <c r="E448" s="53"/>
      <c r="F448" s="53"/>
    </row>
    <row r="449">
      <c r="A449" s="148"/>
      <c r="B449" s="148"/>
      <c r="C449" s="53"/>
      <c r="D449" s="53"/>
      <c r="E449" s="53"/>
      <c r="F449" s="53"/>
    </row>
    <row r="450">
      <c r="A450" s="148"/>
      <c r="B450" s="148"/>
      <c r="C450" s="53"/>
      <c r="D450" s="53"/>
      <c r="E450" s="53"/>
      <c r="F450" s="53"/>
    </row>
    <row r="451">
      <c r="A451" s="148"/>
      <c r="B451" s="148"/>
      <c r="C451" s="53"/>
      <c r="D451" s="53"/>
      <c r="E451" s="53"/>
      <c r="F451" s="53"/>
    </row>
    <row r="452">
      <c r="A452" s="148"/>
      <c r="B452" s="148"/>
      <c r="C452" s="53"/>
      <c r="D452" s="53"/>
      <c r="E452" s="53"/>
      <c r="F452" s="53"/>
    </row>
    <row r="453">
      <c r="A453" s="148"/>
      <c r="B453" s="148"/>
      <c r="C453" s="53"/>
      <c r="D453" s="53"/>
      <c r="E453" s="53"/>
      <c r="F453" s="53"/>
    </row>
    <row r="454">
      <c r="A454" s="148"/>
      <c r="B454" s="148"/>
      <c r="C454" s="53"/>
      <c r="D454" s="53"/>
      <c r="E454" s="53"/>
      <c r="F454" s="53"/>
    </row>
    <row r="455">
      <c r="A455" s="148"/>
      <c r="B455" s="148"/>
      <c r="C455" s="53"/>
      <c r="D455" s="53"/>
      <c r="E455" s="53"/>
      <c r="F455" s="53"/>
    </row>
    <row r="456">
      <c r="A456" s="148"/>
      <c r="B456" s="148"/>
      <c r="C456" s="53"/>
      <c r="D456" s="53"/>
      <c r="E456" s="53"/>
      <c r="F456" s="53"/>
    </row>
    <row r="457">
      <c r="A457" s="148"/>
      <c r="B457" s="148"/>
      <c r="C457" s="53"/>
      <c r="D457" s="53"/>
      <c r="E457" s="53"/>
      <c r="F457" s="53"/>
    </row>
    <row r="458">
      <c r="A458" s="148"/>
      <c r="B458" s="148"/>
      <c r="C458" s="53"/>
      <c r="D458" s="53"/>
      <c r="E458" s="53"/>
      <c r="F458" s="53"/>
    </row>
    <row r="459">
      <c r="A459" s="148"/>
      <c r="B459" s="148"/>
      <c r="C459" s="53"/>
      <c r="D459" s="53"/>
      <c r="E459" s="53"/>
      <c r="F459" s="53"/>
    </row>
    <row r="460">
      <c r="A460" s="148"/>
      <c r="B460" s="148"/>
      <c r="C460" s="53"/>
      <c r="D460" s="53"/>
      <c r="E460" s="53"/>
      <c r="F460" s="53"/>
    </row>
    <row r="461">
      <c r="A461" s="148"/>
      <c r="B461" s="148"/>
      <c r="C461" s="53"/>
      <c r="D461" s="53"/>
      <c r="E461" s="53"/>
      <c r="F461" s="53"/>
    </row>
    <row r="462">
      <c r="A462" s="148"/>
      <c r="B462" s="148"/>
      <c r="C462" s="53"/>
      <c r="D462" s="53"/>
      <c r="E462" s="53"/>
      <c r="F462" s="53"/>
    </row>
    <row r="463">
      <c r="A463" s="148"/>
      <c r="B463" s="148"/>
      <c r="C463" s="53"/>
      <c r="D463" s="53"/>
      <c r="E463" s="53"/>
      <c r="F463" s="53"/>
    </row>
    <row r="464">
      <c r="A464" s="148"/>
      <c r="B464" s="148"/>
      <c r="C464" s="53"/>
      <c r="D464" s="53"/>
      <c r="E464" s="53"/>
      <c r="F464" s="53"/>
    </row>
    <row r="465">
      <c r="A465" s="148"/>
      <c r="B465" s="148"/>
      <c r="C465" s="53"/>
      <c r="D465" s="53"/>
      <c r="E465" s="53"/>
      <c r="F465" s="53"/>
    </row>
    <row r="466">
      <c r="A466" s="148"/>
      <c r="B466" s="148"/>
      <c r="C466" s="53"/>
      <c r="D466" s="53"/>
      <c r="E466" s="53"/>
      <c r="F466" s="53"/>
    </row>
    <row r="467">
      <c r="A467" s="148"/>
      <c r="B467" s="148"/>
      <c r="C467" s="53"/>
      <c r="D467" s="53"/>
      <c r="E467" s="53"/>
      <c r="F467" s="53"/>
    </row>
    <row r="468">
      <c r="A468" s="148"/>
      <c r="B468" s="148"/>
      <c r="C468" s="53"/>
      <c r="D468" s="53"/>
      <c r="E468" s="53"/>
      <c r="F468" s="53"/>
    </row>
    <row r="469">
      <c r="A469" s="148"/>
      <c r="B469" s="148"/>
      <c r="C469" s="53"/>
      <c r="D469" s="53"/>
      <c r="E469" s="53"/>
      <c r="F469" s="53"/>
    </row>
    <row r="470">
      <c r="A470" s="148"/>
      <c r="B470" s="148"/>
      <c r="C470" s="53"/>
      <c r="D470" s="53"/>
      <c r="E470" s="53"/>
      <c r="F470" s="53"/>
    </row>
    <row r="471">
      <c r="A471" s="148"/>
      <c r="B471" s="148"/>
      <c r="C471" s="53"/>
      <c r="D471" s="53"/>
      <c r="E471" s="53"/>
      <c r="F471" s="53"/>
    </row>
    <row r="472">
      <c r="A472" s="148"/>
      <c r="B472" s="148"/>
      <c r="C472" s="53"/>
      <c r="D472" s="53"/>
      <c r="E472" s="53"/>
      <c r="F472" s="53"/>
    </row>
    <row r="473">
      <c r="A473" s="148"/>
      <c r="B473" s="148"/>
      <c r="C473" s="53"/>
      <c r="D473" s="53"/>
      <c r="E473" s="53"/>
      <c r="F473" s="53"/>
    </row>
    <row r="474">
      <c r="A474" s="148"/>
      <c r="B474" s="148"/>
      <c r="C474" s="53"/>
      <c r="D474" s="53"/>
      <c r="E474" s="53"/>
      <c r="F474" s="53"/>
    </row>
    <row r="475">
      <c r="A475" s="148"/>
      <c r="B475" s="148"/>
      <c r="C475" s="53"/>
      <c r="D475" s="53"/>
      <c r="E475" s="53"/>
      <c r="F475" s="53"/>
    </row>
    <row r="476">
      <c r="A476" s="148"/>
      <c r="B476" s="148"/>
      <c r="C476" s="53"/>
      <c r="D476" s="53"/>
      <c r="E476" s="53"/>
      <c r="F476" s="53"/>
    </row>
    <row r="477">
      <c r="A477" s="148"/>
      <c r="B477" s="148"/>
      <c r="C477" s="53"/>
      <c r="D477" s="53"/>
      <c r="E477" s="53"/>
      <c r="F477" s="53"/>
    </row>
    <row r="478">
      <c r="A478" s="148"/>
      <c r="B478" s="148"/>
      <c r="C478" s="53"/>
      <c r="D478" s="53"/>
      <c r="E478" s="53"/>
      <c r="F478" s="53"/>
    </row>
    <row r="479">
      <c r="A479" s="148"/>
      <c r="B479" s="148"/>
      <c r="C479" s="53"/>
      <c r="D479" s="53"/>
      <c r="E479" s="53"/>
      <c r="F479" s="53"/>
    </row>
    <row r="480">
      <c r="A480" s="148"/>
      <c r="B480" s="148"/>
      <c r="C480" s="53"/>
      <c r="D480" s="53"/>
      <c r="E480" s="53"/>
      <c r="F480" s="53"/>
    </row>
    <row r="481">
      <c r="A481" s="148"/>
      <c r="B481" s="148"/>
      <c r="C481" s="53"/>
      <c r="D481" s="53"/>
      <c r="E481" s="53"/>
      <c r="F481" s="53"/>
    </row>
    <row r="482">
      <c r="A482" s="148"/>
      <c r="B482" s="148"/>
      <c r="C482" s="53"/>
      <c r="D482" s="53"/>
      <c r="E482" s="53"/>
      <c r="F482" s="53"/>
    </row>
    <row r="483">
      <c r="A483" s="148"/>
      <c r="B483" s="148"/>
      <c r="C483" s="53"/>
      <c r="D483" s="53"/>
      <c r="E483" s="53"/>
      <c r="F483" s="53"/>
    </row>
    <row r="484">
      <c r="A484" s="148"/>
      <c r="B484" s="148"/>
      <c r="C484" s="53"/>
      <c r="D484" s="53"/>
      <c r="E484" s="53"/>
      <c r="F484" s="53"/>
    </row>
    <row r="485">
      <c r="A485" s="148"/>
      <c r="B485" s="148"/>
      <c r="C485" s="53"/>
      <c r="D485" s="53"/>
      <c r="E485" s="53"/>
      <c r="F485" s="53"/>
    </row>
    <row r="486">
      <c r="A486" s="148"/>
      <c r="B486" s="148"/>
      <c r="C486" s="53"/>
      <c r="D486" s="53"/>
      <c r="E486" s="53"/>
      <c r="F486" s="53"/>
    </row>
    <row r="487">
      <c r="A487" s="148"/>
      <c r="B487" s="148"/>
      <c r="C487" s="53"/>
      <c r="D487" s="53"/>
      <c r="E487" s="53"/>
      <c r="F487" s="53"/>
    </row>
    <row r="488">
      <c r="A488" s="148"/>
      <c r="B488" s="148"/>
      <c r="C488" s="53"/>
      <c r="D488" s="53"/>
      <c r="E488" s="53"/>
      <c r="F488" s="53"/>
    </row>
    <row r="489">
      <c r="A489" s="148"/>
      <c r="B489" s="148"/>
      <c r="C489" s="53"/>
      <c r="D489" s="53"/>
      <c r="E489" s="53"/>
      <c r="F489" s="53"/>
    </row>
    <row r="490">
      <c r="A490" s="148"/>
      <c r="B490" s="148"/>
      <c r="C490" s="53"/>
      <c r="D490" s="53"/>
      <c r="E490" s="53"/>
      <c r="F490" s="53"/>
    </row>
    <row r="491">
      <c r="A491" s="148"/>
      <c r="B491" s="148"/>
      <c r="C491" s="53"/>
      <c r="D491" s="53"/>
      <c r="E491" s="53"/>
      <c r="F491" s="53"/>
    </row>
    <row r="492">
      <c r="A492" s="148"/>
      <c r="B492" s="148"/>
      <c r="C492" s="53"/>
      <c r="D492" s="53"/>
      <c r="E492" s="53"/>
      <c r="F492" s="53"/>
    </row>
    <row r="493">
      <c r="A493" s="148"/>
      <c r="B493" s="148"/>
      <c r="C493" s="53"/>
      <c r="D493" s="53"/>
      <c r="E493" s="53"/>
      <c r="F493" s="53"/>
    </row>
    <row r="494">
      <c r="A494" s="148"/>
      <c r="B494" s="148"/>
      <c r="C494" s="53"/>
      <c r="D494" s="53"/>
      <c r="E494" s="53"/>
      <c r="F494" s="53"/>
    </row>
    <row r="495">
      <c r="A495" s="148"/>
      <c r="B495" s="148"/>
      <c r="C495" s="53"/>
      <c r="D495" s="53"/>
      <c r="E495" s="53"/>
      <c r="F495" s="53"/>
    </row>
    <row r="496">
      <c r="A496" s="148"/>
      <c r="B496" s="148"/>
      <c r="C496" s="53"/>
      <c r="D496" s="53"/>
      <c r="E496" s="53"/>
      <c r="F496" s="53"/>
    </row>
    <row r="497">
      <c r="A497" s="148"/>
      <c r="B497" s="148"/>
      <c r="C497" s="53"/>
      <c r="D497" s="53"/>
      <c r="E497" s="53"/>
      <c r="F497" s="53"/>
    </row>
    <row r="498">
      <c r="A498" s="148"/>
      <c r="B498" s="148"/>
      <c r="C498" s="53"/>
      <c r="D498" s="53"/>
      <c r="E498" s="53"/>
      <c r="F498" s="53"/>
    </row>
    <row r="499">
      <c r="A499" s="148"/>
      <c r="B499" s="148"/>
      <c r="C499" s="53"/>
      <c r="D499" s="53"/>
      <c r="E499" s="53"/>
      <c r="F499" s="53"/>
    </row>
    <row r="500">
      <c r="A500" s="148"/>
      <c r="B500" s="148"/>
      <c r="C500" s="53"/>
      <c r="D500" s="53"/>
      <c r="E500" s="53"/>
      <c r="F500" s="53"/>
    </row>
    <row r="501">
      <c r="A501" s="148"/>
      <c r="B501" s="148"/>
      <c r="C501" s="53"/>
      <c r="D501" s="53"/>
      <c r="E501" s="53"/>
      <c r="F501" s="53"/>
    </row>
    <row r="502">
      <c r="A502" s="148"/>
      <c r="B502" s="148"/>
      <c r="C502" s="53"/>
      <c r="D502" s="53"/>
      <c r="E502" s="53"/>
      <c r="F502" s="53"/>
    </row>
    <row r="503">
      <c r="A503" s="148"/>
      <c r="B503" s="148"/>
      <c r="C503" s="53"/>
      <c r="D503" s="53"/>
      <c r="E503" s="53"/>
      <c r="F503" s="53"/>
    </row>
    <row r="504">
      <c r="A504" s="148"/>
      <c r="B504" s="148"/>
      <c r="C504" s="53"/>
      <c r="D504" s="53"/>
      <c r="E504" s="53"/>
      <c r="F504" s="53"/>
    </row>
    <row r="505">
      <c r="A505" s="148"/>
      <c r="B505" s="148"/>
      <c r="C505" s="53"/>
      <c r="D505" s="53"/>
      <c r="E505" s="53"/>
      <c r="F505" s="53"/>
    </row>
    <row r="506">
      <c r="A506" s="148"/>
      <c r="B506" s="148"/>
      <c r="C506" s="53"/>
      <c r="D506" s="53"/>
      <c r="E506" s="53"/>
      <c r="F506" s="53"/>
    </row>
    <row r="507">
      <c r="A507" s="148"/>
      <c r="B507" s="148"/>
      <c r="C507" s="53"/>
      <c r="D507" s="53"/>
      <c r="E507" s="53"/>
      <c r="F507" s="53"/>
    </row>
    <row r="508">
      <c r="A508" s="148"/>
      <c r="B508" s="148"/>
      <c r="C508" s="53"/>
      <c r="D508" s="53"/>
      <c r="E508" s="53"/>
      <c r="F508" s="53"/>
    </row>
    <row r="509">
      <c r="A509" s="148"/>
      <c r="B509" s="148"/>
      <c r="C509" s="53"/>
      <c r="D509" s="53"/>
      <c r="E509" s="53"/>
      <c r="F509" s="53"/>
    </row>
    <row r="510">
      <c r="A510" s="148"/>
      <c r="B510" s="148"/>
      <c r="C510" s="53"/>
      <c r="D510" s="53"/>
      <c r="E510" s="53"/>
      <c r="F510" s="53"/>
    </row>
    <row r="511">
      <c r="A511" s="148"/>
      <c r="B511" s="148"/>
      <c r="C511" s="53"/>
      <c r="D511" s="53"/>
      <c r="E511" s="53"/>
      <c r="F511" s="53"/>
    </row>
    <row r="512">
      <c r="A512" s="148"/>
      <c r="B512" s="148"/>
      <c r="C512" s="53"/>
      <c r="D512" s="53"/>
      <c r="E512" s="53"/>
      <c r="F512" s="53"/>
    </row>
    <row r="513">
      <c r="A513" s="148"/>
      <c r="B513" s="148"/>
      <c r="C513" s="53"/>
      <c r="D513" s="53"/>
      <c r="E513" s="53"/>
      <c r="F513" s="53"/>
    </row>
    <row r="514">
      <c r="A514" s="148"/>
      <c r="B514" s="148"/>
      <c r="C514" s="53"/>
      <c r="D514" s="53"/>
      <c r="E514" s="53"/>
      <c r="F514" s="53"/>
    </row>
    <row r="515">
      <c r="A515" s="148"/>
      <c r="B515" s="148"/>
      <c r="C515" s="53"/>
      <c r="D515" s="53"/>
      <c r="E515" s="53"/>
      <c r="F515" s="53"/>
    </row>
    <row r="516">
      <c r="A516" s="148"/>
      <c r="B516" s="148"/>
      <c r="C516" s="53"/>
      <c r="D516" s="53"/>
      <c r="E516" s="53"/>
      <c r="F516" s="53"/>
    </row>
    <row r="517">
      <c r="A517" s="148"/>
      <c r="B517" s="148"/>
      <c r="C517" s="53"/>
      <c r="D517" s="53"/>
      <c r="E517" s="53"/>
      <c r="F517" s="53"/>
    </row>
    <row r="518">
      <c r="A518" s="148"/>
      <c r="B518" s="148"/>
      <c r="C518" s="53"/>
      <c r="D518" s="53"/>
      <c r="E518" s="53"/>
      <c r="F518" s="53"/>
    </row>
    <row r="519">
      <c r="A519" s="148"/>
      <c r="B519" s="148"/>
      <c r="C519" s="53"/>
      <c r="D519" s="53"/>
      <c r="E519" s="53"/>
      <c r="F519" s="53"/>
    </row>
    <row r="520">
      <c r="A520" s="148"/>
      <c r="B520" s="148"/>
      <c r="C520" s="53"/>
      <c r="D520" s="53"/>
      <c r="E520" s="53"/>
      <c r="F520" s="53"/>
    </row>
    <row r="521">
      <c r="A521" s="148"/>
      <c r="B521" s="148"/>
      <c r="C521" s="53"/>
      <c r="D521" s="53"/>
      <c r="E521" s="53"/>
      <c r="F521" s="53"/>
    </row>
    <row r="522">
      <c r="A522" s="148"/>
      <c r="B522" s="148"/>
      <c r="C522" s="53"/>
      <c r="D522" s="53"/>
      <c r="E522" s="53"/>
      <c r="F522" s="53"/>
    </row>
    <row r="523">
      <c r="A523" s="148"/>
      <c r="B523" s="148"/>
      <c r="C523" s="53"/>
      <c r="D523" s="53"/>
      <c r="E523" s="53"/>
      <c r="F523" s="53"/>
    </row>
    <row r="524">
      <c r="A524" s="148"/>
      <c r="B524" s="148"/>
      <c r="C524" s="53"/>
      <c r="D524" s="53"/>
      <c r="E524" s="53"/>
      <c r="F524" s="53"/>
    </row>
    <row r="525">
      <c r="A525" s="148"/>
      <c r="B525" s="148"/>
      <c r="C525" s="53"/>
      <c r="D525" s="53"/>
      <c r="E525" s="53"/>
      <c r="F525" s="53"/>
    </row>
    <row r="526">
      <c r="A526" s="148"/>
      <c r="B526" s="148"/>
      <c r="C526" s="53"/>
      <c r="D526" s="53"/>
      <c r="E526" s="53"/>
      <c r="F526" s="53"/>
    </row>
    <row r="527">
      <c r="A527" s="148"/>
      <c r="B527" s="148"/>
      <c r="C527" s="53"/>
      <c r="D527" s="53"/>
      <c r="E527" s="53"/>
      <c r="F527" s="53"/>
    </row>
    <row r="528">
      <c r="A528" s="148"/>
      <c r="B528" s="148"/>
      <c r="C528" s="53"/>
      <c r="D528" s="53"/>
      <c r="E528" s="53"/>
      <c r="F528" s="53"/>
    </row>
    <row r="529">
      <c r="A529" s="148"/>
      <c r="B529" s="148"/>
      <c r="C529" s="53"/>
      <c r="D529" s="53"/>
      <c r="E529" s="53"/>
      <c r="F529" s="53"/>
    </row>
    <row r="530">
      <c r="A530" s="148"/>
      <c r="B530" s="148"/>
      <c r="C530" s="53"/>
      <c r="D530" s="53"/>
      <c r="E530" s="53"/>
      <c r="F530" s="53"/>
    </row>
    <row r="531">
      <c r="A531" s="148"/>
      <c r="B531" s="148"/>
      <c r="C531" s="53"/>
      <c r="D531" s="53"/>
      <c r="E531" s="53"/>
      <c r="F531" s="53"/>
    </row>
    <row r="532">
      <c r="A532" s="148"/>
      <c r="B532" s="148"/>
      <c r="C532" s="53"/>
      <c r="D532" s="53"/>
      <c r="E532" s="53"/>
      <c r="F532" s="53"/>
    </row>
    <row r="533">
      <c r="A533" s="148"/>
      <c r="B533" s="148"/>
      <c r="C533" s="53"/>
      <c r="D533" s="53"/>
      <c r="E533" s="53"/>
      <c r="F533" s="53"/>
    </row>
    <row r="534">
      <c r="A534" s="148"/>
      <c r="B534" s="148"/>
      <c r="C534" s="53"/>
      <c r="D534" s="53"/>
      <c r="E534" s="53"/>
      <c r="F534" s="53"/>
    </row>
    <row r="535">
      <c r="A535" s="148"/>
      <c r="B535" s="148"/>
      <c r="C535" s="53"/>
      <c r="D535" s="53"/>
      <c r="E535" s="53"/>
      <c r="F535" s="53"/>
    </row>
    <row r="536">
      <c r="A536" s="148"/>
      <c r="B536" s="148"/>
      <c r="C536" s="53"/>
      <c r="D536" s="53"/>
      <c r="E536" s="53"/>
      <c r="F536" s="53"/>
    </row>
    <row r="537">
      <c r="A537" s="148"/>
      <c r="B537" s="148"/>
      <c r="C537" s="53"/>
      <c r="D537" s="53"/>
      <c r="E537" s="53"/>
      <c r="F537" s="53"/>
    </row>
    <row r="538">
      <c r="A538" s="148"/>
      <c r="B538" s="148"/>
      <c r="C538" s="53"/>
      <c r="D538" s="53"/>
      <c r="E538" s="53"/>
      <c r="F538" s="53"/>
    </row>
    <row r="539">
      <c r="A539" s="148"/>
      <c r="B539" s="148"/>
      <c r="C539" s="53"/>
      <c r="D539" s="53"/>
      <c r="E539" s="53"/>
      <c r="F539" s="53"/>
    </row>
    <row r="540">
      <c r="A540" s="148"/>
      <c r="B540" s="148"/>
      <c r="C540" s="53"/>
      <c r="D540" s="53"/>
      <c r="E540" s="53"/>
      <c r="F540" s="53"/>
    </row>
    <row r="541">
      <c r="A541" s="148"/>
      <c r="B541" s="148"/>
      <c r="C541" s="53"/>
      <c r="D541" s="53"/>
      <c r="E541" s="53"/>
      <c r="F541" s="53"/>
    </row>
    <row r="542">
      <c r="A542" s="148"/>
      <c r="B542" s="148"/>
      <c r="C542" s="53"/>
      <c r="D542" s="53"/>
      <c r="E542" s="53"/>
      <c r="F542" s="53"/>
    </row>
    <row r="543">
      <c r="A543" s="148"/>
      <c r="B543" s="148"/>
      <c r="C543" s="53"/>
      <c r="D543" s="53"/>
      <c r="E543" s="53"/>
      <c r="F543" s="53"/>
    </row>
    <row r="544">
      <c r="A544" s="148"/>
      <c r="B544" s="148"/>
      <c r="C544" s="53"/>
      <c r="D544" s="53"/>
      <c r="E544" s="53"/>
      <c r="F544" s="53"/>
    </row>
    <row r="545">
      <c r="A545" s="148"/>
      <c r="B545" s="148"/>
      <c r="C545" s="53"/>
      <c r="D545" s="53"/>
      <c r="E545" s="53"/>
      <c r="F545" s="53"/>
    </row>
    <row r="546">
      <c r="A546" s="148"/>
      <c r="B546" s="148"/>
      <c r="C546" s="53"/>
      <c r="D546" s="53"/>
      <c r="E546" s="53"/>
      <c r="F546" s="53"/>
    </row>
    <row r="547">
      <c r="A547" s="148"/>
      <c r="B547" s="148"/>
      <c r="C547" s="53"/>
      <c r="D547" s="53"/>
      <c r="E547" s="53"/>
      <c r="F547" s="53"/>
    </row>
    <row r="548">
      <c r="A548" s="148"/>
      <c r="B548" s="148"/>
      <c r="C548" s="53"/>
      <c r="D548" s="53"/>
      <c r="E548" s="53"/>
      <c r="F548" s="53"/>
    </row>
    <row r="549">
      <c r="A549" s="148"/>
      <c r="B549" s="148"/>
      <c r="C549" s="53"/>
      <c r="D549" s="53"/>
      <c r="E549" s="53"/>
      <c r="F549" s="53"/>
    </row>
    <row r="550">
      <c r="A550" s="148"/>
      <c r="B550" s="148"/>
      <c r="C550" s="53"/>
      <c r="D550" s="53"/>
      <c r="E550" s="53"/>
      <c r="F550" s="53"/>
    </row>
    <row r="551">
      <c r="A551" s="148"/>
      <c r="B551" s="148"/>
      <c r="C551" s="53"/>
      <c r="D551" s="53"/>
      <c r="E551" s="53"/>
      <c r="F551" s="53"/>
    </row>
    <row r="552">
      <c r="A552" s="148"/>
      <c r="B552" s="148"/>
      <c r="C552" s="53"/>
      <c r="D552" s="53"/>
      <c r="E552" s="53"/>
      <c r="F552" s="53"/>
    </row>
    <row r="553">
      <c r="A553" s="148"/>
      <c r="B553" s="148"/>
      <c r="C553" s="53"/>
      <c r="D553" s="53"/>
      <c r="E553" s="53"/>
      <c r="F553" s="53"/>
    </row>
    <row r="554">
      <c r="A554" s="148"/>
      <c r="B554" s="148"/>
      <c r="C554" s="53"/>
      <c r="D554" s="53"/>
      <c r="E554" s="53"/>
      <c r="F554" s="53"/>
    </row>
    <row r="555">
      <c r="A555" s="148"/>
      <c r="B555" s="148"/>
      <c r="C555" s="53"/>
      <c r="D555" s="53"/>
      <c r="E555" s="53"/>
      <c r="F555" s="53"/>
    </row>
    <row r="556">
      <c r="A556" s="148"/>
      <c r="B556" s="148"/>
      <c r="C556" s="53"/>
      <c r="D556" s="53"/>
      <c r="E556" s="53"/>
      <c r="F556" s="53"/>
    </row>
    <row r="557">
      <c r="A557" s="148"/>
      <c r="B557" s="148"/>
      <c r="C557" s="53"/>
      <c r="D557" s="53"/>
      <c r="E557" s="53"/>
      <c r="F557" s="53"/>
    </row>
    <row r="558">
      <c r="A558" s="148"/>
      <c r="B558" s="148"/>
      <c r="C558" s="53"/>
      <c r="D558" s="53"/>
      <c r="E558" s="53"/>
      <c r="F558" s="53"/>
    </row>
    <row r="559">
      <c r="A559" s="148"/>
      <c r="B559" s="148"/>
      <c r="C559" s="53"/>
      <c r="D559" s="53"/>
      <c r="E559" s="53"/>
      <c r="F559" s="53"/>
    </row>
    <row r="560">
      <c r="A560" s="148"/>
      <c r="B560" s="148"/>
      <c r="C560" s="53"/>
      <c r="D560" s="53"/>
      <c r="E560" s="53"/>
      <c r="F560" s="53"/>
    </row>
    <row r="561">
      <c r="A561" s="148"/>
      <c r="B561" s="148"/>
      <c r="C561" s="53"/>
      <c r="D561" s="53"/>
      <c r="E561" s="53"/>
      <c r="F561" s="53"/>
    </row>
    <row r="562">
      <c r="A562" s="148"/>
      <c r="B562" s="148"/>
      <c r="C562" s="53"/>
      <c r="D562" s="53"/>
      <c r="E562" s="53"/>
      <c r="F562" s="53"/>
    </row>
    <row r="563">
      <c r="A563" s="148"/>
      <c r="B563" s="148"/>
      <c r="C563" s="53"/>
      <c r="D563" s="53"/>
      <c r="E563" s="53"/>
      <c r="F563" s="53"/>
    </row>
    <row r="564">
      <c r="A564" s="148"/>
      <c r="B564" s="148"/>
      <c r="C564" s="53"/>
      <c r="D564" s="53"/>
      <c r="E564" s="53"/>
      <c r="F564" s="53"/>
    </row>
    <row r="565">
      <c r="A565" s="148"/>
      <c r="B565" s="148"/>
      <c r="C565" s="53"/>
      <c r="D565" s="53"/>
      <c r="E565" s="53"/>
      <c r="F565" s="53"/>
    </row>
    <row r="566">
      <c r="A566" s="148"/>
      <c r="B566" s="148"/>
      <c r="C566" s="53"/>
      <c r="D566" s="53"/>
      <c r="E566" s="53"/>
      <c r="F566" s="53"/>
    </row>
    <row r="567">
      <c r="A567" s="148"/>
      <c r="B567" s="148"/>
      <c r="C567" s="53"/>
      <c r="D567" s="53"/>
      <c r="E567" s="53"/>
      <c r="F567" s="53"/>
    </row>
    <row r="568">
      <c r="A568" s="148"/>
      <c r="B568" s="148"/>
      <c r="C568" s="53"/>
      <c r="D568" s="53"/>
      <c r="E568" s="53"/>
      <c r="F568" s="53"/>
    </row>
    <row r="569">
      <c r="A569" s="148"/>
      <c r="B569" s="148"/>
      <c r="C569" s="53"/>
      <c r="D569" s="53"/>
      <c r="E569" s="53"/>
      <c r="F569" s="53"/>
    </row>
    <row r="570">
      <c r="A570" s="148"/>
      <c r="B570" s="148"/>
      <c r="C570" s="53"/>
      <c r="D570" s="53"/>
      <c r="E570" s="53"/>
      <c r="F570" s="53"/>
    </row>
    <row r="571">
      <c r="A571" s="148"/>
      <c r="B571" s="148"/>
      <c r="C571" s="53"/>
      <c r="D571" s="53"/>
      <c r="E571" s="53"/>
      <c r="F571" s="53"/>
    </row>
    <row r="572">
      <c r="A572" s="148"/>
      <c r="B572" s="148"/>
      <c r="C572" s="53"/>
      <c r="D572" s="53"/>
      <c r="E572" s="53"/>
      <c r="F572" s="53"/>
    </row>
    <row r="573">
      <c r="A573" s="148"/>
      <c r="B573" s="148"/>
      <c r="C573" s="53"/>
      <c r="D573" s="53"/>
      <c r="E573" s="53"/>
      <c r="F573" s="53"/>
    </row>
    <row r="574">
      <c r="A574" s="148"/>
      <c r="B574" s="148"/>
      <c r="C574" s="53"/>
      <c r="D574" s="53"/>
      <c r="E574" s="53"/>
      <c r="F574" s="53"/>
    </row>
    <row r="575">
      <c r="A575" s="148"/>
      <c r="B575" s="148"/>
      <c r="C575" s="53"/>
      <c r="D575" s="53"/>
      <c r="E575" s="53"/>
      <c r="F575" s="53"/>
    </row>
    <row r="576">
      <c r="A576" s="148"/>
      <c r="B576" s="148"/>
      <c r="C576" s="53"/>
      <c r="D576" s="53"/>
      <c r="E576" s="53"/>
      <c r="F576" s="53"/>
    </row>
    <row r="577">
      <c r="A577" s="148"/>
      <c r="B577" s="148"/>
      <c r="C577" s="53"/>
      <c r="D577" s="53"/>
      <c r="E577" s="53"/>
      <c r="F577" s="53"/>
    </row>
    <row r="578">
      <c r="A578" s="148"/>
      <c r="B578" s="148"/>
      <c r="C578" s="53"/>
      <c r="D578" s="53"/>
      <c r="E578" s="53"/>
      <c r="F578" s="53"/>
    </row>
    <row r="579">
      <c r="A579" s="148"/>
      <c r="B579" s="148"/>
      <c r="C579" s="53"/>
      <c r="D579" s="53"/>
      <c r="E579" s="53"/>
      <c r="F579" s="53"/>
    </row>
    <row r="580">
      <c r="A580" s="148"/>
      <c r="B580" s="148"/>
      <c r="C580" s="53"/>
      <c r="D580" s="53"/>
      <c r="E580" s="53"/>
      <c r="F580" s="53"/>
    </row>
    <row r="581">
      <c r="A581" s="148"/>
      <c r="B581" s="148"/>
      <c r="C581" s="53"/>
      <c r="D581" s="53"/>
      <c r="E581" s="53"/>
      <c r="F581" s="53"/>
    </row>
    <row r="582">
      <c r="A582" s="148"/>
      <c r="B582" s="148"/>
      <c r="C582" s="53"/>
      <c r="D582" s="53"/>
      <c r="E582" s="53"/>
      <c r="F582" s="53"/>
    </row>
    <row r="583">
      <c r="A583" s="148"/>
      <c r="B583" s="148"/>
      <c r="C583" s="53"/>
      <c r="D583" s="53"/>
      <c r="E583" s="53"/>
      <c r="F583" s="53"/>
    </row>
    <row r="584">
      <c r="A584" s="148"/>
      <c r="B584" s="148"/>
      <c r="C584" s="53"/>
      <c r="D584" s="53"/>
      <c r="E584" s="53"/>
      <c r="F584" s="53"/>
    </row>
    <row r="585">
      <c r="A585" s="148"/>
      <c r="B585" s="148"/>
      <c r="C585" s="53"/>
      <c r="D585" s="53"/>
      <c r="E585" s="53"/>
      <c r="F585" s="53"/>
    </row>
    <row r="586">
      <c r="A586" s="148"/>
      <c r="B586" s="148"/>
      <c r="C586" s="53"/>
      <c r="D586" s="53"/>
      <c r="E586" s="53"/>
      <c r="F586" s="53"/>
    </row>
    <row r="587">
      <c r="A587" s="148"/>
      <c r="B587" s="148"/>
      <c r="C587" s="53"/>
      <c r="D587" s="53"/>
      <c r="E587" s="53"/>
      <c r="F587" s="53"/>
    </row>
    <row r="588">
      <c r="A588" s="148"/>
      <c r="B588" s="148"/>
      <c r="C588" s="53"/>
      <c r="D588" s="53"/>
      <c r="E588" s="53"/>
      <c r="F588" s="53"/>
    </row>
    <row r="589">
      <c r="A589" s="148"/>
      <c r="B589" s="148"/>
      <c r="C589" s="53"/>
      <c r="D589" s="53"/>
      <c r="E589" s="53"/>
      <c r="F589" s="53"/>
    </row>
    <row r="590">
      <c r="A590" s="148"/>
      <c r="B590" s="148"/>
      <c r="C590" s="53"/>
      <c r="D590" s="53"/>
      <c r="E590" s="53"/>
      <c r="F590" s="53"/>
    </row>
    <row r="591">
      <c r="A591" s="148"/>
      <c r="B591" s="148"/>
      <c r="C591" s="53"/>
      <c r="D591" s="53"/>
      <c r="E591" s="53"/>
      <c r="F591" s="53"/>
    </row>
    <row r="592">
      <c r="A592" s="148"/>
      <c r="B592" s="148"/>
      <c r="C592" s="53"/>
      <c r="D592" s="53"/>
      <c r="E592" s="53"/>
      <c r="F592" s="53"/>
    </row>
    <row r="593">
      <c r="A593" s="148"/>
      <c r="B593" s="148"/>
      <c r="C593" s="53"/>
      <c r="D593" s="53"/>
      <c r="E593" s="53"/>
      <c r="F593" s="53"/>
    </row>
    <row r="594">
      <c r="A594" s="148"/>
      <c r="B594" s="148"/>
      <c r="C594" s="53"/>
      <c r="D594" s="53"/>
      <c r="E594" s="53"/>
      <c r="F594" s="53"/>
    </row>
    <row r="595">
      <c r="A595" s="148"/>
      <c r="B595" s="148"/>
      <c r="C595" s="53"/>
      <c r="D595" s="53"/>
      <c r="E595" s="53"/>
      <c r="F595" s="53"/>
    </row>
    <row r="596">
      <c r="A596" s="148"/>
      <c r="B596" s="148"/>
      <c r="C596" s="53"/>
      <c r="D596" s="53"/>
      <c r="E596" s="53"/>
      <c r="F596" s="53"/>
    </row>
    <row r="597">
      <c r="A597" s="148"/>
      <c r="B597" s="148"/>
      <c r="C597" s="53"/>
      <c r="D597" s="53"/>
      <c r="E597" s="53"/>
      <c r="F597" s="53"/>
    </row>
    <row r="598">
      <c r="A598" s="148"/>
      <c r="B598" s="148"/>
      <c r="C598" s="53"/>
      <c r="D598" s="53"/>
      <c r="E598" s="53"/>
      <c r="F598" s="53"/>
    </row>
    <row r="599">
      <c r="A599" s="148"/>
      <c r="B599" s="148"/>
      <c r="C599" s="53"/>
      <c r="D599" s="53"/>
      <c r="E599" s="53"/>
      <c r="F599" s="53"/>
    </row>
    <row r="600">
      <c r="A600" s="148"/>
      <c r="B600" s="148"/>
      <c r="C600" s="53"/>
      <c r="D600" s="53"/>
      <c r="E600" s="53"/>
      <c r="F600" s="53"/>
    </row>
    <row r="601">
      <c r="A601" s="148"/>
      <c r="B601" s="148"/>
      <c r="C601" s="53"/>
      <c r="D601" s="53"/>
      <c r="E601" s="53"/>
      <c r="F601" s="53"/>
    </row>
    <row r="602">
      <c r="A602" s="148"/>
      <c r="B602" s="148"/>
      <c r="C602" s="53"/>
      <c r="D602" s="53"/>
      <c r="E602" s="53"/>
      <c r="F602" s="53"/>
    </row>
    <row r="603">
      <c r="A603" s="148"/>
      <c r="B603" s="148"/>
      <c r="C603" s="53"/>
      <c r="D603" s="53"/>
      <c r="E603" s="53"/>
      <c r="F603" s="53"/>
    </row>
    <row r="604">
      <c r="A604" s="148"/>
      <c r="B604" s="148"/>
      <c r="C604" s="53"/>
      <c r="D604" s="53"/>
      <c r="E604" s="53"/>
      <c r="F604" s="53"/>
    </row>
    <row r="605">
      <c r="A605" s="148"/>
      <c r="B605" s="148"/>
      <c r="C605" s="53"/>
      <c r="D605" s="53"/>
      <c r="E605" s="53"/>
      <c r="F605" s="53"/>
    </row>
    <row r="606">
      <c r="A606" s="148"/>
      <c r="B606" s="148"/>
      <c r="C606" s="53"/>
      <c r="D606" s="53"/>
      <c r="E606" s="53"/>
      <c r="F606" s="53"/>
    </row>
    <row r="607">
      <c r="A607" s="148"/>
      <c r="B607" s="148"/>
      <c r="C607" s="53"/>
      <c r="D607" s="53"/>
      <c r="E607" s="53"/>
      <c r="F607" s="53"/>
    </row>
    <row r="608">
      <c r="A608" s="148"/>
      <c r="B608" s="148"/>
      <c r="C608" s="53"/>
      <c r="D608" s="53"/>
      <c r="E608" s="53"/>
      <c r="F608" s="53"/>
    </row>
    <row r="609">
      <c r="A609" s="148"/>
      <c r="B609" s="148"/>
      <c r="C609" s="53"/>
      <c r="D609" s="53"/>
      <c r="E609" s="53"/>
      <c r="F609" s="53"/>
    </row>
    <row r="610">
      <c r="A610" s="148"/>
      <c r="B610" s="148"/>
      <c r="C610" s="53"/>
      <c r="D610" s="53"/>
      <c r="E610" s="53"/>
      <c r="F610" s="53"/>
    </row>
    <row r="611">
      <c r="A611" s="148"/>
      <c r="B611" s="148"/>
      <c r="C611" s="53"/>
      <c r="D611" s="53"/>
      <c r="E611" s="53"/>
      <c r="F611" s="53"/>
    </row>
    <row r="612">
      <c r="A612" s="148"/>
      <c r="B612" s="148"/>
      <c r="C612" s="53"/>
      <c r="D612" s="53"/>
      <c r="E612" s="53"/>
      <c r="F612" s="53"/>
    </row>
    <row r="613">
      <c r="A613" s="148"/>
      <c r="B613" s="148"/>
      <c r="C613" s="53"/>
      <c r="D613" s="53"/>
      <c r="E613" s="53"/>
      <c r="F613" s="53"/>
    </row>
    <row r="614">
      <c r="A614" s="148"/>
      <c r="B614" s="148"/>
      <c r="C614" s="53"/>
      <c r="D614" s="53"/>
      <c r="E614" s="53"/>
      <c r="F614" s="53"/>
    </row>
    <row r="615">
      <c r="A615" s="148"/>
      <c r="B615" s="148"/>
      <c r="C615" s="53"/>
      <c r="D615" s="53"/>
      <c r="E615" s="53"/>
      <c r="F615" s="53"/>
    </row>
    <row r="616">
      <c r="A616" s="148"/>
      <c r="B616" s="148"/>
      <c r="C616" s="53"/>
      <c r="D616" s="53"/>
      <c r="E616" s="53"/>
      <c r="F616" s="53"/>
    </row>
    <row r="617">
      <c r="A617" s="148"/>
      <c r="B617" s="148"/>
      <c r="C617" s="53"/>
      <c r="D617" s="53"/>
      <c r="E617" s="53"/>
      <c r="F617" s="53"/>
    </row>
    <row r="618">
      <c r="A618" s="148"/>
      <c r="B618" s="148"/>
      <c r="C618" s="53"/>
      <c r="D618" s="53"/>
      <c r="E618" s="53"/>
      <c r="F618" s="53"/>
    </row>
    <row r="619">
      <c r="A619" s="148"/>
      <c r="B619" s="148"/>
      <c r="C619" s="53"/>
      <c r="D619" s="53"/>
      <c r="E619" s="53"/>
      <c r="F619" s="53"/>
    </row>
    <row r="620">
      <c r="A620" s="148"/>
      <c r="B620" s="148"/>
      <c r="C620" s="53"/>
      <c r="D620" s="53"/>
      <c r="E620" s="53"/>
      <c r="F620" s="53"/>
    </row>
    <row r="621">
      <c r="A621" s="148"/>
      <c r="B621" s="148"/>
      <c r="C621" s="53"/>
      <c r="D621" s="53"/>
      <c r="E621" s="53"/>
      <c r="F621" s="53"/>
    </row>
    <row r="622">
      <c r="A622" s="148"/>
      <c r="B622" s="148"/>
      <c r="C622" s="53"/>
      <c r="D622" s="53"/>
      <c r="E622" s="53"/>
      <c r="F622" s="53"/>
    </row>
    <row r="623">
      <c r="A623" s="148"/>
      <c r="B623" s="148"/>
      <c r="C623" s="53"/>
      <c r="D623" s="53"/>
      <c r="E623" s="53"/>
      <c r="F623" s="53"/>
    </row>
    <row r="624">
      <c r="A624" s="148"/>
      <c r="B624" s="148"/>
      <c r="C624" s="53"/>
      <c r="D624" s="53"/>
      <c r="E624" s="53"/>
      <c r="F624" s="53"/>
    </row>
    <row r="625">
      <c r="A625" s="148"/>
      <c r="B625" s="148"/>
      <c r="C625" s="53"/>
      <c r="D625" s="53"/>
      <c r="E625" s="53"/>
      <c r="F625" s="53"/>
    </row>
    <row r="626">
      <c r="A626" s="148"/>
      <c r="B626" s="148"/>
      <c r="C626" s="53"/>
      <c r="D626" s="53"/>
      <c r="E626" s="53"/>
      <c r="F626" s="53"/>
    </row>
    <row r="627">
      <c r="A627" s="148"/>
      <c r="B627" s="148"/>
      <c r="C627" s="53"/>
      <c r="D627" s="53"/>
      <c r="E627" s="53"/>
      <c r="F627" s="53"/>
    </row>
    <row r="628">
      <c r="A628" s="148"/>
      <c r="B628" s="148"/>
      <c r="C628" s="53"/>
      <c r="D628" s="53"/>
      <c r="E628" s="53"/>
      <c r="F628" s="53"/>
    </row>
    <row r="629">
      <c r="A629" s="148"/>
      <c r="B629" s="148"/>
      <c r="C629" s="53"/>
      <c r="D629" s="53"/>
      <c r="E629" s="53"/>
      <c r="F629" s="53"/>
    </row>
    <row r="630">
      <c r="A630" s="148"/>
      <c r="B630" s="148"/>
      <c r="C630" s="53"/>
      <c r="D630" s="53"/>
      <c r="E630" s="53"/>
      <c r="F630" s="53"/>
    </row>
    <row r="631">
      <c r="A631" s="148"/>
      <c r="B631" s="148"/>
      <c r="C631" s="53"/>
      <c r="D631" s="53"/>
      <c r="E631" s="53"/>
      <c r="F631" s="53"/>
    </row>
    <row r="632">
      <c r="A632" s="148"/>
      <c r="B632" s="148"/>
      <c r="C632" s="53"/>
      <c r="D632" s="53"/>
      <c r="E632" s="53"/>
      <c r="F632" s="53"/>
    </row>
    <row r="633">
      <c r="A633" s="148"/>
      <c r="B633" s="148"/>
      <c r="C633" s="53"/>
      <c r="D633" s="53"/>
      <c r="E633" s="53"/>
      <c r="F633" s="53"/>
    </row>
    <row r="634">
      <c r="A634" s="148"/>
      <c r="B634" s="148"/>
      <c r="C634" s="53"/>
      <c r="D634" s="53"/>
      <c r="E634" s="53"/>
      <c r="F634" s="53"/>
    </row>
    <row r="635">
      <c r="A635" s="148"/>
      <c r="B635" s="148"/>
      <c r="C635" s="53"/>
      <c r="D635" s="53"/>
      <c r="E635" s="53"/>
      <c r="F635" s="53"/>
    </row>
    <row r="636">
      <c r="A636" s="148"/>
      <c r="B636" s="148"/>
      <c r="C636" s="53"/>
      <c r="D636" s="53"/>
      <c r="E636" s="53"/>
      <c r="F636" s="53"/>
    </row>
    <row r="637">
      <c r="A637" s="148"/>
      <c r="B637" s="148"/>
      <c r="C637" s="53"/>
      <c r="D637" s="53"/>
      <c r="E637" s="53"/>
      <c r="F637" s="53"/>
    </row>
    <row r="638">
      <c r="A638" s="148"/>
      <c r="B638" s="148"/>
      <c r="C638" s="53"/>
      <c r="D638" s="53"/>
      <c r="E638" s="53"/>
      <c r="F638" s="53"/>
    </row>
    <row r="639">
      <c r="A639" s="148"/>
      <c r="B639" s="148"/>
      <c r="C639" s="53"/>
      <c r="D639" s="53"/>
      <c r="E639" s="53"/>
      <c r="F639" s="53"/>
    </row>
    <row r="640">
      <c r="A640" s="148"/>
      <c r="B640" s="148"/>
      <c r="C640" s="53"/>
      <c r="D640" s="53"/>
      <c r="E640" s="53"/>
      <c r="F640" s="53"/>
    </row>
    <row r="641">
      <c r="A641" s="148"/>
      <c r="B641" s="148"/>
      <c r="C641" s="53"/>
      <c r="D641" s="53"/>
      <c r="E641" s="53"/>
      <c r="F641" s="53"/>
    </row>
    <row r="642">
      <c r="A642" s="148"/>
      <c r="B642" s="148"/>
      <c r="C642" s="53"/>
      <c r="D642" s="53"/>
      <c r="E642" s="53"/>
      <c r="F642" s="53"/>
    </row>
    <row r="643">
      <c r="A643" s="148"/>
      <c r="B643" s="148"/>
      <c r="C643" s="53"/>
      <c r="D643" s="53"/>
      <c r="E643" s="53"/>
      <c r="F643" s="53"/>
    </row>
    <row r="644">
      <c r="A644" s="148"/>
      <c r="B644" s="148"/>
      <c r="C644" s="53"/>
      <c r="D644" s="53"/>
      <c r="E644" s="53"/>
      <c r="F644" s="53"/>
    </row>
    <row r="645">
      <c r="A645" s="148"/>
      <c r="B645" s="148"/>
      <c r="C645" s="53"/>
      <c r="D645" s="53"/>
      <c r="E645" s="53"/>
      <c r="F645" s="53"/>
    </row>
    <row r="646">
      <c r="A646" s="148"/>
      <c r="B646" s="148"/>
      <c r="C646" s="53"/>
      <c r="D646" s="53"/>
      <c r="E646" s="53"/>
      <c r="F646" s="53"/>
    </row>
    <row r="647">
      <c r="A647" s="148"/>
      <c r="B647" s="148"/>
      <c r="C647" s="53"/>
      <c r="D647" s="53"/>
      <c r="E647" s="53"/>
      <c r="F647" s="53"/>
    </row>
    <row r="648">
      <c r="A648" s="148"/>
      <c r="B648" s="148"/>
      <c r="C648" s="53"/>
      <c r="D648" s="53"/>
      <c r="E648" s="53"/>
      <c r="F648" s="53"/>
    </row>
    <row r="649">
      <c r="A649" s="148"/>
      <c r="B649" s="148"/>
      <c r="C649" s="53"/>
      <c r="D649" s="53"/>
      <c r="E649" s="53"/>
      <c r="F649" s="53"/>
    </row>
    <row r="650">
      <c r="A650" s="148"/>
      <c r="B650" s="148"/>
      <c r="C650" s="53"/>
      <c r="D650" s="53"/>
      <c r="E650" s="53"/>
      <c r="F650" s="53"/>
    </row>
    <row r="651">
      <c r="A651" s="148"/>
      <c r="B651" s="148"/>
      <c r="C651" s="53"/>
      <c r="D651" s="53"/>
      <c r="E651" s="53"/>
      <c r="F651" s="53"/>
    </row>
    <row r="652">
      <c r="A652" s="148"/>
      <c r="B652" s="148"/>
      <c r="C652" s="53"/>
      <c r="D652" s="53"/>
      <c r="E652" s="53"/>
      <c r="F652" s="53"/>
    </row>
    <row r="653">
      <c r="A653" s="148"/>
      <c r="B653" s="148"/>
      <c r="C653" s="53"/>
      <c r="D653" s="53"/>
      <c r="E653" s="53"/>
      <c r="F653" s="53"/>
    </row>
    <row r="654">
      <c r="A654" s="148"/>
      <c r="B654" s="148"/>
      <c r="C654" s="53"/>
      <c r="D654" s="53"/>
      <c r="E654" s="53"/>
      <c r="F654" s="53"/>
    </row>
    <row r="655">
      <c r="A655" s="148"/>
      <c r="B655" s="148"/>
      <c r="C655" s="53"/>
      <c r="D655" s="53"/>
      <c r="E655" s="53"/>
      <c r="F655" s="53"/>
    </row>
    <row r="656">
      <c r="A656" s="148"/>
      <c r="B656" s="148"/>
      <c r="C656" s="53"/>
      <c r="D656" s="53"/>
      <c r="E656" s="53"/>
      <c r="F656" s="53"/>
    </row>
    <row r="657">
      <c r="A657" s="148"/>
      <c r="B657" s="148"/>
      <c r="C657" s="53"/>
      <c r="D657" s="53"/>
      <c r="E657" s="53"/>
      <c r="F657" s="53"/>
    </row>
    <row r="658">
      <c r="A658" s="148"/>
      <c r="B658" s="148"/>
      <c r="C658" s="53"/>
      <c r="D658" s="53"/>
      <c r="E658" s="53"/>
      <c r="F658" s="53"/>
    </row>
    <row r="659">
      <c r="A659" s="148"/>
      <c r="B659" s="148"/>
      <c r="C659" s="53"/>
      <c r="D659" s="53"/>
      <c r="E659" s="53"/>
      <c r="F659" s="53"/>
    </row>
    <row r="660">
      <c r="A660" s="148"/>
      <c r="B660" s="148"/>
      <c r="C660" s="53"/>
      <c r="D660" s="53"/>
      <c r="E660" s="53"/>
      <c r="F660" s="53"/>
    </row>
    <row r="661">
      <c r="A661" s="148"/>
      <c r="B661" s="148"/>
      <c r="C661" s="53"/>
      <c r="D661" s="53"/>
      <c r="E661" s="53"/>
      <c r="F661" s="53"/>
    </row>
    <row r="662">
      <c r="A662" s="148"/>
      <c r="B662" s="148"/>
      <c r="C662" s="53"/>
      <c r="D662" s="53"/>
      <c r="E662" s="53"/>
      <c r="F662" s="53"/>
    </row>
    <row r="663">
      <c r="A663" s="148"/>
      <c r="B663" s="148"/>
      <c r="C663" s="53"/>
      <c r="D663" s="53"/>
      <c r="E663" s="53"/>
      <c r="F663" s="53"/>
    </row>
    <row r="664">
      <c r="A664" s="148"/>
      <c r="B664" s="148"/>
      <c r="C664" s="53"/>
      <c r="D664" s="53"/>
      <c r="E664" s="53"/>
      <c r="F664" s="53"/>
    </row>
    <row r="665">
      <c r="A665" s="148"/>
      <c r="B665" s="148"/>
      <c r="C665" s="53"/>
      <c r="D665" s="53"/>
      <c r="E665" s="53"/>
      <c r="F665" s="53"/>
    </row>
    <row r="666">
      <c r="A666" s="148"/>
      <c r="B666" s="148"/>
      <c r="C666" s="53"/>
      <c r="D666" s="53"/>
      <c r="E666" s="53"/>
      <c r="F666" s="53"/>
    </row>
    <row r="667">
      <c r="A667" s="148"/>
      <c r="B667" s="148"/>
      <c r="C667" s="53"/>
      <c r="D667" s="53"/>
      <c r="E667" s="53"/>
      <c r="F667" s="53"/>
    </row>
    <row r="668">
      <c r="A668" s="148"/>
      <c r="B668" s="148"/>
      <c r="C668" s="53"/>
      <c r="D668" s="53"/>
      <c r="E668" s="53"/>
      <c r="F668" s="53"/>
    </row>
    <row r="669">
      <c r="A669" s="148"/>
      <c r="B669" s="148"/>
      <c r="C669" s="53"/>
      <c r="D669" s="53"/>
      <c r="E669" s="53"/>
      <c r="F669" s="53"/>
    </row>
    <row r="670">
      <c r="A670" s="148"/>
      <c r="B670" s="148"/>
      <c r="C670" s="53"/>
      <c r="D670" s="53"/>
      <c r="E670" s="53"/>
      <c r="F670" s="53"/>
    </row>
    <row r="671">
      <c r="A671" s="148"/>
      <c r="B671" s="148"/>
      <c r="C671" s="53"/>
      <c r="D671" s="53"/>
      <c r="E671" s="53"/>
      <c r="F671" s="53"/>
    </row>
    <row r="672">
      <c r="A672" s="148"/>
      <c r="B672" s="148"/>
      <c r="C672" s="53"/>
      <c r="D672" s="53"/>
      <c r="E672" s="53"/>
      <c r="F672" s="53"/>
    </row>
    <row r="673">
      <c r="A673" s="148"/>
      <c r="B673" s="148"/>
      <c r="C673" s="53"/>
      <c r="D673" s="53"/>
      <c r="E673" s="53"/>
      <c r="F673" s="53"/>
    </row>
    <row r="674">
      <c r="A674" s="148"/>
      <c r="B674" s="148"/>
      <c r="C674" s="53"/>
      <c r="D674" s="53"/>
      <c r="E674" s="53"/>
      <c r="F674" s="53"/>
    </row>
    <row r="675">
      <c r="A675" s="148"/>
      <c r="B675" s="148"/>
      <c r="C675" s="53"/>
      <c r="D675" s="53"/>
      <c r="E675" s="53"/>
      <c r="F675" s="53"/>
    </row>
    <row r="676">
      <c r="A676" s="148"/>
      <c r="B676" s="148"/>
      <c r="C676" s="53"/>
      <c r="D676" s="53"/>
      <c r="E676" s="53"/>
      <c r="F676" s="53"/>
    </row>
    <row r="677">
      <c r="A677" s="148"/>
      <c r="B677" s="148"/>
      <c r="C677" s="53"/>
      <c r="D677" s="53"/>
      <c r="E677" s="53"/>
      <c r="F677" s="53"/>
    </row>
    <row r="678">
      <c r="A678" s="148"/>
      <c r="B678" s="148"/>
      <c r="C678" s="53"/>
      <c r="D678" s="53"/>
      <c r="E678" s="53"/>
      <c r="F678" s="53"/>
    </row>
    <row r="679">
      <c r="A679" s="148"/>
      <c r="B679" s="148"/>
      <c r="C679" s="53"/>
      <c r="D679" s="53"/>
      <c r="E679" s="53"/>
      <c r="F679" s="53"/>
    </row>
    <row r="680">
      <c r="A680" s="148"/>
      <c r="B680" s="148"/>
      <c r="C680" s="53"/>
      <c r="D680" s="53"/>
      <c r="E680" s="53"/>
      <c r="F680" s="53"/>
    </row>
    <row r="681">
      <c r="A681" s="148"/>
      <c r="B681" s="148"/>
      <c r="C681" s="53"/>
      <c r="D681" s="53"/>
      <c r="E681" s="53"/>
      <c r="F681" s="53"/>
    </row>
    <row r="682">
      <c r="A682" s="148"/>
      <c r="B682" s="148"/>
      <c r="C682" s="53"/>
      <c r="D682" s="53"/>
      <c r="E682" s="53"/>
      <c r="F682" s="53"/>
    </row>
    <row r="683">
      <c r="A683" s="148"/>
      <c r="B683" s="148"/>
      <c r="C683" s="53"/>
      <c r="D683" s="53"/>
      <c r="E683" s="53"/>
      <c r="F683" s="53"/>
    </row>
    <row r="684">
      <c r="A684" s="148"/>
      <c r="B684" s="148"/>
      <c r="C684" s="53"/>
      <c r="D684" s="53"/>
      <c r="E684" s="53"/>
      <c r="F684" s="53"/>
    </row>
    <row r="685">
      <c r="A685" s="148"/>
      <c r="B685" s="148"/>
      <c r="C685" s="53"/>
      <c r="D685" s="53"/>
      <c r="E685" s="53"/>
      <c r="F685" s="53"/>
    </row>
    <row r="686">
      <c r="A686" s="148"/>
      <c r="B686" s="148"/>
      <c r="C686" s="53"/>
      <c r="D686" s="53"/>
      <c r="E686" s="53"/>
      <c r="F686" s="53"/>
    </row>
    <row r="687">
      <c r="A687" s="148"/>
      <c r="B687" s="148"/>
      <c r="C687" s="53"/>
      <c r="D687" s="53"/>
      <c r="E687" s="53"/>
      <c r="F687" s="53"/>
    </row>
    <row r="688">
      <c r="A688" s="148"/>
      <c r="B688" s="148"/>
      <c r="C688" s="53"/>
      <c r="D688" s="53"/>
      <c r="E688" s="53"/>
      <c r="F688" s="53"/>
    </row>
    <row r="689">
      <c r="A689" s="148"/>
      <c r="B689" s="148"/>
      <c r="C689" s="53"/>
      <c r="D689" s="53"/>
      <c r="E689" s="53"/>
      <c r="F689" s="53"/>
    </row>
    <row r="690">
      <c r="A690" s="148"/>
      <c r="B690" s="148"/>
      <c r="C690" s="53"/>
      <c r="D690" s="53"/>
      <c r="E690" s="53"/>
      <c r="F690" s="53"/>
    </row>
    <row r="691">
      <c r="A691" s="148"/>
      <c r="B691" s="148"/>
      <c r="C691" s="53"/>
      <c r="D691" s="53"/>
      <c r="E691" s="53"/>
      <c r="F691" s="53"/>
    </row>
    <row r="692">
      <c r="A692" s="148"/>
      <c r="B692" s="148"/>
      <c r="C692" s="53"/>
      <c r="D692" s="53"/>
      <c r="E692" s="53"/>
      <c r="F692" s="53"/>
    </row>
    <row r="693">
      <c r="A693" s="148"/>
      <c r="B693" s="148"/>
      <c r="C693" s="53"/>
      <c r="D693" s="53"/>
      <c r="E693" s="53"/>
      <c r="F693" s="53"/>
    </row>
    <row r="694">
      <c r="A694" s="148"/>
      <c r="B694" s="148"/>
      <c r="C694" s="53"/>
      <c r="D694" s="53"/>
      <c r="E694" s="53"/>
      <c r="F694" s="53"/>
    </row>
    <row r="695">
      <c r="A695" s="148"/>
      <c r="B695" s="148"/>
      <c r="C695" s="53"/>
      <c r="D695" s="53"/>
      <c r="E695" s="53"/>
      <c r="F695" s="53"/>
    </row>
    <row r="696">
      <c r="A696" s="148"/>
      <c r="B696" s="148"/>
      <c r="C696" s="53"/>
      <c r="D696" s="53"/>
      <c r="E696" s="53"/>
      <c r="F696" s="53"/>
    </row>
    <row r="697">
      <c r="A697" s="148"/>
      <c r="B697" s="148"/>
      <c r="C697" s="53"/>
      <c r="D697" s="53"/>
      <c r="E697" s="53"/>
      <c r="F697" s="53"/>
    </row>
    <row r="698">
      <c r="A698" s="148"/>
      <c r="B698" s="148"/>
      <c r="C698" s="53"/>
      <c r="D698" s="53"/>
      <c r="E698" s="53"/>
      <c r="F698" s="53"/>
    </row>
    <row r="699">
      <c r="A699" s="148"/>
      <c r="B699" s="148"/>
      <c r="C699" s="53"/>
      <c r="D699" s="53"/>
      <c r="E699" s="53"/>
      <c r="F699" s="53"/>
    </row>
    <row r="700">
      <c r="A700" s="148"/>
      <c r="B700" s="148"/>
      <c r="C700" s="53"/>
      <c r="D700" s="53"/>
      <c r="E700" s="53"/>
      <c r="F700" s="53"/>
    </row>
    <row r="701">
      <c r="A701" s="148"/>
      <c r="B701" s="148"/>
      <c r="C701" s="53"/>
      <c r="D701" s="53"/>
      <c r="E701" s="53"/>
      <c r="F701" s="53"/>
    </row>
    <row r="702">
      <c r="A702" s="148"/>
      <c r="B702" s="148"/>
      <c r="C702" s="53"/>
      <c r="D702" s="53"/>
      <c r="E702" s="53"/>
      <c r="F702" s="53"/>
    </row>
    <row r="703">
      <c r="A703" s="148"/>
      <c r="B703" s="148"/>
      <c r="C703" s="53"/>
      <c r="D703" s="53"/>
      <c r="E703" s="53"/>
      <c r="F703" s="53"/>
    </row>
    <row r="704">
      <c r="A704" s="148"/>
      <c r="B704" s="148"/>
      <c r="C704" s="53"/>
      <c r="D704" s="53"/>
      <c r="E704" s="53"/>
      <c r="F704" s="53"/>
    </row>
    <row r="705">
      <c r="A705" s="148"/>
      <c r="B705" s="148"/>
      <c r="C705" s="53"/>
      <c r="D705" s="53"/>
      <c r="E705" s="53"/>
      <c r="F705" s="53"/>
    </row>
    <row r="706">
      <c r="A706" s="148"/>
      <c r="B706" s="148"/>
      <c r="C706" s="53"/>
      <c r="D706" s="53"/>
      <c r="E706" s="53"/>
      <c r="F706" s="53"/>
    </row>
    <row r="707">
      <c r="A707" s="148"/>
      <c r="B707" s="148"/>
      <c r="C707" s="53"/>
      <c r="D707" s="53"/>
      <c r="E707" s="53"/>
      <c r="F707" s="53"/>
    </row>
    <row r="708">
      <c r="A708" s="148"/>
      <c r="B708" s="148"/>
      <c r="C708" s="53"/>
      <c r="D708" s="53"/>
      <c r="E708" s="53"/>
      <c r="F708" s="53"/>
    </row>
    <row r="709">
      <c r="A709" s="148"/>
      <c r="B709" s="148"/>
      <c r="C709" s="53"/>
      <c r="D709" s="53"/>
      <c r="E709" s="53"/>
      <c r="F709" s="53"/>
    </row>
    <row r="710">
      <c r="A710" s="148"/>
      <c r="B710" s="148"/>
      <c r="C710" s="53"/>
      <c r="D710" s="53"/>
      <c r="E710" s="53"/>
      <c r="F710" s="53"/>
    </row>
    <row r="711">
      <c r="A711" s="148"/>
      <c r="B711" s="148"/>
      <c r="C711" s="53"/>
      <c r="D711" s="53"/>
      <c r="E711" s="53"/>
      <c r="F711" s="53"/>
    </row>
    <row r="712">
      <c r="A712" s="148"/>
      <c r="B712" s="148"/>
      <c r="C712" s="53"/>
      <c r="D712" s="53"/>
      <c r="E712" s="53"/>
      <c r="F712" s="53"/>
    </row>
    <row r="713">
      <c r="A713" s="148"/>
      <c r="B713" s="148"/>
      <c r="C713" s="53"/>
      <c r="D713" s="53"/>
      <c r="E713" s="53"/>
      <c r="F713" s="53"/>
    </row>
    <row r="714">
      <c r="A714" s="148"/>
      <c r="B714" s="148"/>
      <c r="C714" s="53"/>
      <c r="D714" s="53"/>
      <c r="E714" s="53"/>
      <c r="F714" s="53"/>
    </row>
    <row r="715">
      <c r="A715" s="148"/>
      <c r="B715" s="148"/>
      <c r="C715" s="53"/>
      <c r="D715" s="53"/>
      <c r="E715" s="53"/>
      <c r="F715" s="53"/>
    </row>
    <row r="716">
      <c r="A716" s="148"/>
      <c r="B716" s="148"/>
      <c r="C716" s="53"/>
      <c r="D716" s="53"/>
      <c r="E716" s="53"/>
      <c r="F716" s="53"/>
    </row>
    <row r="717">
      <c r="A717" s="148"/>
      <c r="B717" s="148"/>
      <c r="C717" s="53"/>
      <c r="D717" s="53"/>
      <c r="E717" s="53"/>
      <c r="F717" s="53"/>
    </row>
    <row r="718">
      <c r="A718" s="148"/>
      <c r="B718" s="148"/>
      <c r="C718" s="53"/>
      <c r="D718" s="53"/>
      <c r="E718" s="53"/>
      <c r="F718" s="53"/>
    </row>
    <row r="719">
      <c r="A719" s="148"/>
      <c r="B719" s="148"/>
      <c r="C719" s="53"/>
      <c r="D719" s="53"/>
      <c r="E719" s="53"/>
      <c r="F719" s="53"/>
    </row>
    <row r="720">
      <c r="A720" s="148"/>
      <c r="B720" s="148"/>
      <c r="C720" s="53"/>
      <c r="D720" s="53"/>
      <c r="E720" s="53"/>
      <c r="F720" s="53"/>
    </row>
    <row r="721">
      <c r="A721" s="148"/>
      <c r="B721" s="148"/>
      <c r="C721" s="53"/>
      <c r="D721" s="53"/>
      <c r="E721" s="53"/>
      <c r="F721" s="53"/>
    </row>
    <row r="722">
      <c r="A722" s="148"/>
      <c r="B722" s="148"/>
      <c r="C722" s="53"/>
      <c r="D722" s="53"/>
      <c r="E722" s="53"/>
      <c r="F722" s="53"/>
    </row>
    <row r="723">
      <c r="A723" s="148"/>
      <c r="B723" s="148"/>
      <c r="C723" s="53"/>
      <c r="D723" s="53"/>
      <c r="E723" s="53"/>
      <c r="F723" s="53"/>
    </row>
    <row r="724">
      <c r="A724" s="148"/>
      <c r="B724" s="148"/>
      <c r="C724" s="53"/>
      <c r="D724" s="53"/>
      <c r="E724" s="53"/>
      <c r="F724" s="53"/>
    </row>
    <row r="725">
      <c r="A725" s="148"/>
      <c r="B725" s="148"/>
      <c r="C725" s="53"/>
      <c r="D725" s="53"/>
      <c r="E725" s="53"/>
      <c r="F725" s="53"/>
    </row>
    <row r="726">
      <c r="A726" s="148"/>
      <c r="B726" s="148"/>
      <c r="C726" s="53"/>
      <c r="D726" s="53"/>
      <c r="E726" s="53"/>
      <c r="F726" s="53"/>
    </row>
    <row r="727">
      <c r="A727" s="148"/>
      <c r="B727" s="148"/>
      <c r="C727" s="53"/>
      <c r="D727" s="53"/>
      <c r="E727" s="53"/>
      <c r="F727" s="53"/>
    </row>
    <row r="728">
      <c r="A728" s="148"/>
      <c r="B728" s="148"/>
      <c r="C728" s="53"/>
      <c r="D728" s="53"/>
      <c r="E728" s="53"/>
      <c r="F728" s="53"/>
    </row>
    <row r="729">
      <c r="A729" s="148"/>
      <c r="B729" s="148"/>
      <c r="C729" s="53"/>
      <c r="D729" s="53"/>
      <c r="E729" s="53"/>
      <c r="F729" s="53"/>
    </row>
    <row r="730">
      <c r="A730" s="148"/>
      <c r="B730" s="148"/>
      <c r="C730" s="53"/>
      <c r="D730" s="53"/>
      <c r="E730" s="53"/>
      <c r="F730" s="53"/>
    </row>
    <row r="731">
      <c r="A731" s="148"/>
      <c r="B731" s="148"/>
      <c r="C731" s="53"/>
      <c r="D731" s="53"/>
      <c r="E731" s="53"/>
      <c r="F731" s="53"/>
    </row>
    <row r="732">
      <c r="A732" s="148"/>
      <c r="B732" s="148"/>
      <c r="C732" s="53"/>
      <c r="D732" s="53"/>
      <c r="E732" s="53"/>
      <c r="F732" s="53"/>
    </row>
    <row r="733">
      <c r="A733" s="148"/>
      <c r="B733" s="148"/>
      <c r="C733" s="53"/>
      <c r="D733" s="53"/>
      <c r="E733" s="53"/>
      <c r="F733" s="53"/>
    </row>
    <row r="734">
      <c r="A734" s="148"/>
      <c r="B734" s="148"/>
      <c r="C734" s="53"/>
      <c r="D734" s="53"/>
      <c r="E734" s="53"/>
      <c r="F734" s="53"/>
    </row>
    <row r="735">
      <c r="A735" s="148"/>
      <c r="B735" s="148"/>
      <c r="C735" s="53"/>
      <c r="D735" s="53"/>
      <c r="E735" s="53"/>
      <c r="F735" s="53"/>
    </row>
    <row r="736">
      <c r="A736" s="148"/>
      <c r="B736" s="148"/>
      <c r="C736" s="53"/>
      <c r="D736" s="53"/>
      <c r="E736" s="53"/>
      <c r="F736" s="53"/>
    </row>
    <row r="737">
      <c r="A737" s="148"/>
      <c r="B737" s="148"/>
      <c r="C737" s="53"/>
      <c r="D737" s="53"/>
      <c r="E737" s="53"/>
      <c r="F737" s="53"/>
    </row>
    <row r="738">
      <c r="A738" s="148"/>
      <c r="B738" s="148"/>
      <c r="C738" s="53"/>
      <c r="D738" s="53"/>
      <c r="E738" s="53"/>
      <c r="F738" s="53"/>
    </row>
    <row r="739">
      <c r="A739" s="148"/>
      <c r="B739" s="148"/>
      <c r="C739" s="53"/>
      <c r="D739" s="53"/>
      <c r="E739" s="53"/>
      <c r="F739" s="53"/>
    </row>
    <row r="740">
      <c r="A740" s="148"/>
      <c r="B740" s="148"/>
      <c r="C740" s="53"/>
      <c r="D740" s="53"/>
      <c r="E740" s="53"/>
      <c r="F740" s="53"/>
    </row>
    <row r="741">
      <c r="A741" s="148"/>
      <c r="B741" s="148"/>
      <c r="C741" s="53"/>
      <c r="D741" s="53"/>
      <c r="E741" s="53"/>
      <c r="F741" s="53"/>
    </row>
    <row r="742">
      <c r="A742" s="148"/>
      <c r="B742" s="148"/>
      <c r="C742" s="53"/>
      <c r="D742" s="53"/>
      <c r="E742" s="53"/>
      <c r="F742" s="53"/>
    </row>
    <row r="743">
      <c r="A743" s="148"/>
      <c r="B743" s="148"/>
      <c r="C743" s="53"/>
      <c r="D743" s="53"/>
      <c r="E743" s="53"/>
      <c r="F743" s="53"/>
    </row>
    <row r="744">
      <c r="A744" s="148"/>
      <c r="B744" s="148"/>
      <c r="C744" s="53"/>
      <c r="D744" s="53"/>
      <c r="E744" s="53"/>
      <c r="F744" s="53"/>
    </row>
    <row r="745">
      <c r="A745" s="148"/>
      <c r="B745" s="148"/>
      <c r="C745" s="53"/>
      <c r="D745" s="53"/>
      <c r="E745" s="53"/>
      <c r="F745" s="53"/>
    </row>
    <row r="746">
      <c r="A746" s="148"/>
      <c r="B746" s="148"/>
      <c r="C746" s="53"/>
      <c r="D746" s="53"/>
      <c r="E746" s="53"/>
      <c r="F746" s="53"/>
    </row>
    <row r="747">
      <c r="A747" s="148"/>
      <c r="B747" s="148"/>
      <c r="C747" s="53"/>
      <c r="D747" s="53"/>
      <c r="E747" s="53"/>
      <c r="F747" s="53"/>
    </row>
    <row r="748">
      <c r="A748" s="148"/>
      <c r="B748" s="148"/>
      <c r="C748" s="53"/>
      <c r="D748" s="53"/>
      <c r="E748" s="53"/>
      <c r="F748" s="53"/>
    </row>
    <row r="749">
      <c r="A749" s="148"/>
      <c r="B749" s="148"/>
      <c r="C749" s="53"/>
      <c r="D749" s="53"/>
      <c r="E749" s="53"/>
      <c r="F749" s="53"/>
    </row>
    <row r="750">
      <c r="A750" s="148"/>
      <c r="B750" s="148"/>
      <c r="C750" s="53"/>
      <c r="D750" s="53"/>
      <c r="E750" s="53"/>
      <c r="F750" s="53"/>
    </row>
    <row r="751">
      <c r="A751" s="148"/>
      <c r="B751" s="148"/>
      <c r="C751" s="53"/>
      <c r="D751" s="53"/>
      <c r="E751" s="53"/>
      <c r="F751" s="53"/>
    </row>
    <row r="752">
      <c r="A752" s="148"/>
      <c r="B752" s="148"/>
      <c r="C752" s="53"/>
      <c r="D752" s="53"/>
      <c r="E752" s="53"/>
      <c r="F752" s="53"/>
    </row>
    <row r="753">
      <c r="A753" s="148"/>
      <c r="B753" s="148"/>
      <c r="C753" s="53"/>
      <c r="D753" s="53"/>
      <c r="E753" s="53"/>
      <c r="F753" s="53"/>
    </row>
    <row r="754">
      <c r="A754" s="148"/>
      <c r="B754" s="148"/>
      <c r="C754" s="53"/>
      <c r="D754" s="53"/>
      <c r="E754" s="53"/>
      <c r="F754" s="53"/>
    </row>
    <row r="755">
      <c r="A755" s="148"/>
      <c r="B755" s="148"/>
      <c r="C755" s="53"/>
      <c r="D755" s="53"/>
      <c r="E755" s="53"/>
      <c r="F755" s="53"/>
    </row>
    <row r="756">
      <c r="A756" s="148"/>
      <c r="B756" s="148"/>
      <c r="C756" s="53"/>
      <c r="D756" s="53"/>
      <c r="E756" s="53"/>
      <c r="F756" s="53"/>
    </row>
    <row r="757">
      <c r="A757" s="148"/>
      <c r="B757" s="148"/>
      <c r="C757" s="53"/>
      <c r="D757" s="53"/>
      <c r="E757" s="53"/>
      <c r="F757" s="53"/>
    </row>
    <row r="758">
      <c r="A758" s="148"/>
      <c r="B758" s="148"/>
      <c r="C758" s="53"/>
      <c r="D758" s="53"/>
      <c r="E758" s="53"/>
      <c r="F758" s="53"/>
    </row>
    <row r="759">
      <c r="A759" s="148"/>
      <c r="B759" s="148"/>
      <c r="C759" s="53"/>
      <c r="D759" s="53"/>
      <c r="E759" s="53"/>
      <c r="F759" s="53"/>
    </row>
    <row r="760">
      <c r="A760" s="148"/>
      <c r="B760" s="148"/>
      <c r="C760" s="53"/>
      <c r="D760" s="53"/>
      <c r="E760" s="53"/>
      <c r="F760" s="53"/>
    </row>
    <row r="761">
      <c r="A761" s="148"/>
      <c r="B761" s="148"/>
      <c r="C761" s="53"/>
      <c r="D761" s="53"/>
      <c r="E761" s="53"/>
      <c r="F761" s="53"/>
    </row>
    <row r="762">
      <c r="A762" s="148"/>
      <c r="B762" s="148"/>
      <c r="C762" s="53"/>
      <c r="D762" s="53"/>
      <c r="E762" s="53"/>
      <c r="F762" s="53"/>
    </row>
    <row r="763">
      <c r="A763" s="148"/>
      <c r="B763" s="148"/>
      <c r="C763" s="53"/>
      <c r="D763" s="53"/>
      <c r="E763" s="53"/>
      <c r="F763" s="53"/>
    </row>
    <row r="764">
      <c r="A764" s="148"/>
      <c r="B764" s="148"/>
      <c r="C764" s="53"/>
      <c r="D764" s="53"/>
      <c r="E764" s="53"/>
      <c r="F764" s="53"/>
    </row>
    <row r="765">
      <c r="A765" s="148"/>
      <c r="B765" s="148"/>
      <c r="C765" s="53"/>
      <c r="D765" s="53"/>
      <c r="E765" s="53"/>
      <c r="F765" s="53"/>
    </row>
    <row r="766">
      <c r="A766" s="148"/>
      <c r="B766" s="148"/>
      <c r="C766" s="53"/>
      <c r="D766" s="53"/>
      <c r="E766" s="53"/>
      <c r="F766" s="53"/>
    </row>
    <row r="767">
      <c r="A767" s="148"/>
      <c r="B767" s="148"/>
      <c r="C767" s="53"/>
      <c r="D767" s="53"/>
      <c r="E767" s="53"/>
      <c r="F767" s="53"/>
    </row>
    <row r="768">
      <c r="A768" s="148"/>
      <c r="B768" s="148"/>
      <c r="C768" s="53"/>
      <c r="D768" s="53"/>
      <c r="E768" s="53"/>
      <c r="F768" s="53"/>
    </row>
    <row r="769">
      <c r="A769" s="148"/>
      <c r="B769" s="148"/>
      <c r="C769" s="53"/>
      <c r="D769" s="53"/>
      <c r="E769" s="53"/>
      <c r="F769" s="53"/>
    </row>
    <row r="770">
      <c r="A770" s="148"/>
      <c r="B770" s="148"/>
      <c r="C770" s="53"/>
      <c r="D770" s="53"/>
      <c r="E770" s="53"/>
      <c r="F770" s="53"/>
    </row>
    <row r="771">
      <c r="A771" s="148"/>
      <c r="B771" s="148"/>
      <c r="C771" s="53"/>
      <c r="D771" s="53"/>
      <c r="E771" s="53"/>
      <c r="F771" s="53"/>
    </row>
    <row r="772">
      <c r="A772" s="148"/>
      <c r="B772" s="148"/>
      <c r="C772" s="53"/>
      <c r="D772" s="53"/>
      <c r="E772" s="53"/>
      <c r="F772" s="53"/>
    </row>
    <row r="773">
      <c r="A773" s="148"/>
      <c r="B773" s="148"/>
      <c r="C773" s="53"/>
      <c r="D773" s="53"/>
      <c r="E773" s="53"/>
      <c r="F773" s="53"/>
    </row>
    <row r="774">
      <c r="A774" s="148"/>
      <c r="B774" s="148"/>
      <c r="C774" s="53"/>
      <c r="D774" s="53"/>
      <c r="E774" s="53"/>
      <c r="F774" s="53"/>
    </row>
    <row r="775">
      <c r="A775" s="148"/>
      <c r="B775" s="148"/>
      <c r="C775" s="53"/>
      <c r="D775" s="53"/>
      <c r="E775" s="53"/>
      <c r="F775" s="53"/>
    </row>
    <row r="776">
      <c r="A776" s="148"/>
      <c r="B776" s="148"/>
      <c r="C776" s="53"/>
      <c r="D776" s="53"/>
      <c r="E776" s="53"/>
      <c r="F776" s="53"/>
    </row>
    <row r="777">
      <c r="A777" s="148"/>
      <c r="B777" s="148"/>
      <c r="C777" s="53"/>
      <c r="D777" s="53"/>
      <c r="E777" s="53"/>
      <c r="F777" s="53"/>
    </row>
    <row r="778">
      <c r="A778" s="148"/>
      <c r="B778" s="148"/>
      <c r="C778" s="53"/>
      <c r="D778" s="53"/>
      <c r="E778" s="53"/>
      <c r="F778" s="53"/>
    </row>
    <row r="779">
      <c r="A779" s="148"/>
      <c r="B779" s="148"/>
      <c r="C779" s="53"/>
      <c r="D779" s="53"/>
      <c r="E779" s="53"/>
      <c r="F779" s="53"/>
    </row>
    <row r="780">
      <c r="A780" s="148"/>
      <c r="B780" s="148"/>
      <c r="C780" s="53"/>
      <c r="D780" s="53"/>
      <c r="E780" s="53"/>
      <c r="F780" s="53"/>
    </row>
    <row r="781">
      <c r="A781" s="148"/>
      <c r="B781" s="148"/>
      <c r="C781" s="53"/>
      <c r="D781" s="53"/>
      <c r="E781" s="53"/>
      <c r="F781" s="53"/>
    </row>
    <row r="782">
      <c r="A782" s="148"/>
      <c r="B782" s="148"/>
      <c r="C782" s="53"/>
      <c r="D782" s="53"/>
      <c r="E782" s="53"/>
      <c r="F782" s="53"/>
    </row>
    <row r="783">
      <c r="A783" s="148"/>
      <c r="B783" s="148"/>
      <c r="C783" s="53"/>
      <c r="D783" s="53"/>
      <c r="E783" s="53"/>
      <c r="F783" s="53"/>
    </row>
    <row r="784">
      <c r="A784" s="148"/>
      <c r="B784" s="148"/>
      <c r="C784" s="53"/>
      <c r="D784" s="53"/>
      <c r="E784" s="53"/>
      <c r="F784" s="53"/>
    </row>
    <row r="785">
      <c r="A785" s="148"/>
      <c r="B785" s="148"/>
      <c r="C785" s="53"/>
      <c r="D785" s="53"/>
      <c r="E785" s="53"/>
      <c r="F785" s="53"/>
    </row>
    <row r="786">
      <c r="A786" s="148"/>
      <c r="B786" s="148"/>
      <c r="C786" s="53"/>
      <c r="D786" s="53"/>
      <c r="E786" s="53"/>
      <c r="F786" s="53"/>
    </row>
    <row r="787">
      <c r="A787" s="148"/>
      <c r="B787" s="148"/>
      <c r="C787" s="53"/>
      <c r="D787" s="53"/>
      <c r="E787" s="53"/>
      <c r="F787" s="53"/>
    </row>
    <row r="788">
      <c r="A788" s="148"/>
      <c r="B788" s="148"/>
      <c r="C788" s="53"/>
      <c r="D788" s="53"/>
      <c r="E788" s="53"/>
      <c r="F788" s="53"/>
    </row>
    <row r="789">
      <c r="A789" s="148"/>
      <c r="B789" s="148"/>
      <c r="C789" s="53"/>
      <c r="D789" s="53"/>
      <c r="E789" s="53"/>
      <c r="F789" s="53"/>
    </row>
    <row r="790">
      <c r="A790" s="148"/>
      <c r="B790" s="148"/>
      <c r="C790" s="53"/>
      <c r="D790" s="53"/>
      <c r="E790" s="53"/>
      <c r="F790" s="53"/>
    </row>
    <row r="791">
      <c r="A791" s="148"/>
      <c r="B791" s="148"/>
      <c r="C791" s="53"/>
      <c r="D791" s="53"/>
      <c r="E791" s="53"/>
      <c r="F791" s="53"/>
    </row>
    <row r="792">
      <c r="A792" s="148"/>
      <c r="B792" s="148"/>
      <c r="C792" s="53"/>
      <c r="D792" s="53"/>
      <c r="E792" s="53"/>
      <c r="F792" s="53"/>
    </row>
    <row r="793">
      <c r="A793" s="148"/>
      <c r="B793" s="148"/>
      <c r="C793" s="53"/>
      <c r="D793" s="53"/>
      <c r="E793" s="53"/>
      <c r="F793" s="53"/>
    </row>
    <row r="794">
      <c r="A794" s="148"/>
      <c r="B794" s="148"/>
      <c r="C794" s="53"/>
      <c r="D794" s="53"/>
      <c r="E794" s="53"/>
      <c r="F794" s="53"/>
    </row>
    <row r="795">
      <c r="A795" s="148"/>
      <c r="B795" s="148"/>
      <c r="C795" s="53"/>
      <c r="D795" s="53"/>
      <c r="E795" s="53"/>
      <c r="F795" s="53"/>
    </row>
    <row r="796">
      <c r="A796" s="148"/>
      <c r="B796" s="148"/>
      <c r="C796" s="53"/>
      <c r="D796" s="53"/>
      <c r="E796" s="53"/>
      <c r="F796" s="53"/>
    </row>
    <row r="797">
      <c r="A797" s="148"/>
      <c r="B797" s="148"/>
      <c r="C797" s="53"/>
      <c r="D797" s="53"/>
      <c r="E797" s="53"/>
      <c r="F797" s="53"/>
    </row>
    <row r="798">
      <c r="A798" s="148"/>
      <c r="B798" s="148"/>
      <c r="C798" s="53"/>
      <c r="D798" s="53"/>
      <c r="E798" s="53"/>
      <c r="F798" s="53"/>
    </row>
    <row r="799">
      <c r="A799" s="148"/>
      <c r="B799" s="148"/>
      <c r="C799" s="53"/>
      <c r="D799" s="53"/>
      <c r="E799" s="53"/>
      <c r="F799" s="53"/>
    </row>
    <row r="800">
      <c r="A800" s="148"/>
      <c r="B800" s="148"/>
      <c r="C800" s="53"/>
      <c r="D800" s="53"/>
      <c r="E800" s="53"/>
      <c r="F800" s="53"/>
    </row>
    <row r="801">
      <c r="A801" s="148"/>
      <c r="B801" s="148"/>
      <c r="C801" s="53"/>
      <c r="D801" s="53"/>
      <c r="E801" s="53"/>
      <c r="F801" s="53"/>
    </row>
    <row r="802">
      <c r="A802" s="148"/>
      <c r="B802" s="148"/>
      <c r="C802" s="53"/>
      <c r="D802" s="53"/>
      <c r="E802" s="53"/>
      <c r="F802" s="53"/>
    </row>
    <row r="803">
      <c r="A803" s="148"/>
      <c r="B803" s="148"/>
      <c r="C803" s="53"/>
      <c r="D803" s="53"/>
      <c r="E803" s="53"/>
      <c r="F803" s="53"/>
    </row>
    <row r="804">
      <c r="A804" s="148"/>
      <c r="B804" s="148"/>
      <c r="C804" s="53"/>
      <c r="D804" s="53"/>
      <c r="E804" s="53"/>
      <c r="F804" s="53"/>
    </row>
    <row r="805">
      <c r="A805" s="148"/>
      <c r="B805" s="148"/>
      <c r="C805" s="53"/>
      <c r="D805" s="53"/>
      <c r="E805" s="53"/>
      <c r="F805" s="53"/>
    </row>
    <row r="806">
      <c r="A806" s="148"/>
      <c r="B806" s="148"/>
      <c r="C806" s="53"/>
      <c r="D806" s="53"/>
      <c r="E806" s="53"/>
      <c r="F806" s="53"/>
    </row>
    <row r="807">
      <c r="A807" s="148"/>
      <c r="B807" s="148"/>
      <c r="C807" s="53"/>
      <c r="D807" s="53"/>
      <c r="E807" s="53"/>
      <c r="F807" s="53"/>
    </row>
    <row r="808">
      <c r="A808" s="148"/>
      <c r="B808" s="148"/>
      <c r="C808" s="53"/>
      <c r="D808" s="53"/>
      <c r="E808" s="53"/>
      <c r="F808" s="53"/>
    </row>
    <row r="809">
      <c r="A809" s="148"/>
      <c r="B809" s="148"/>
      <c r="C809" s="53"/>
      <c r="D809" s="53"/>
      <c r="E809" s="53"/>
      <c r="F809" s="53"/>
    </row>
    <row r="810">
      <c r="A810" s="148"/>
      <c r="B810" s="148"/>
      <c r="C810" s="53"/>
      <c r="D810" s="53"/>
      <c r="E810" s="53"/>
      <c r="F810" s="53"/>
    </row>
    <row r="811">
      <c r="A811" s="148"/>
      <c r="B811" s="148"/>
      <c r="C811" s="53"/>
      <c r="D811" s="53"/>
      <c r="E811" s="53"/>
      <c r="F811" s="53"/>
    </row>
    <row r="812">
      <c r="A812" s="148"/>
      <c r="B812" s="148"/>
      <c r="C812" s="53"/>
      <c r="D812" s="53"/>
      <c r="E812" s="53"/>
      <c r="F812" s="53"/>
    </row>
    <row r="813">
      <c r="A813" s="148"/>
      <c r="B813" s="148"/>
      <c r="C813" s="53"/>
      <c r="D813" s="53"/>
      <c r="E813" s="53"/>
      <c r="F813" s="53"/>
    </row>
    <row r="814">
      <c r="A814" s="148"/>
      <c r="B814" s="148"/>
      <c r="C814" s="53"/>
      <c r="D814" s="53"/>
      <c r="E814" s="53"/>
      <c r="F814" s="53"/>
    </row>
    <row r="815">
      <c r="A815" s="148"/>
      <c r="B815" s="148"/>
      <c r="C815" s="53"/>
      <c r="D815" s="53"/>
      <c r="E815" s="53"/>
      <c r="F815" s="53"/>
    </row>
    <row r="816">
      <c r="A816" s="148"/>
      <c r="B816" s="148"/>
      <c r="C816" s="53"/>
      <c r="D816" s="53"/>
      <c r="E816" s="53"/>
      <c r="F816" s="53"/>
    </row>
    <row r="817">
      <c r="A817" s="148"/>
      <c r="B817" s="148"/>
      <c r="C817" s="53"/>
      <c r="D817" s="53"/>
      <c r="E817" s="53"/>
      <c r="F817" s="53"/>
    </row>
    <row r="818">
      <c r="A818" s="148"/>
      <c r="B818" s="148"/>
      <c r="C818" s="53"/>
      <c r="D818" s="53"/>
      <c r="E818" s="53"/>
      <c r="F818" s="53"/>
    </row>
    <row r="819">
      <c r="A819" s="148"/>
      <c r="B819" s="148"/>
      <c r="C819" s="53"/>
      <c r="D819" s="53"/>
      <c r="E819" s="53"/>
      <c r="F819" s="53"/>
    </row>
    <row r="820">
      <c r="A820" s="148"/>
      <c r="B820" s="148"/>
      <c r="C820" s="53"/>
      <c r="D820" s="53"/>
      <c r="E820" s="53"/>
      <c r="F820" s="53"/>
    </row>
    <row r="821">
      <c r="A821" s="148"/>
      <c r="B821" s="148"/>
      <c r="C821" s="53"/>
      <c r="D821" s="53"/>
      <c r="E821" s="53"/>
      <c r="F821" s="53"/>
    </row>
    <row r="822">
      <c r="A822" s="148"/>
      <c r="B822" s="148"/>
      <c r="C822" s="53"/>
      <c r="D822" s="53"/>
      <c r="E822" s="53"/>
      <c r="F822" s="53"/>
    </row>
    <row r="823">
      <c r="A823" s="148"/>
      <c r="B823" s="148"/>
      <c r="C823" s="53"/>
      <c r="D823" s="53"/>
      <c r="E823" s="53"/>
      <c r="F823" s="53"/>
    </row>
    <row r="824">
      <c r="A824" s="148"/>
      <c r="B824" s="148"/>
      <c r="C824" s="53"/>
      <c r="D824" s="53"/>
      <c r="E824" s="53"/>
      <c r="F824" s="53"/>
    </row>
    <row r="825">
      <c r="A825" s="148"/>
      <c r="B825" s="148"/>
      <c r="C825" s="53"/>
      <c r="D825" s="53"/>
      <c r="E825" s="53"/>
      <c r="F825" s="53"/>
    </row>
    <row r="826">
      <c r="A826" s="148"/>
      <c r="B826" s="148"/>
      <c r="C826" s="53"/>
      <c r="D826" s="53"/>
      <c r="E826" s="53"/>
      <c r="F826" s="53"/>
    </row>
    <row r="827">
      <c r="A827" s="148"/>
      <c r="B827" s="148"/>
      <c r="C827" s="53"/>
      <c r="D827" s="53"/>
      <c r="E827" s="53"/>
      <c r="F827" s="53"/>
    </row>
    <row r="828">
      <c r="A828" s="148"/>
      <c r="B828" s="148"/>
      <c r="C828" s="53"/>
      <c r="D828" s="53"/>
      <c r="E828" s="53"/>
      <c r="F828" s="53"/>
    </row>
    <row r="829">
      <c r="A829" s="148"/>
      <c r="B829" s="148"/>
      <c r="C829" s="53"/>
      <c r="D829" s="53"/>
      <c r="E829" s="53"/>
      <c r="F829" s="53"/>
    </row>
    <row r="830">
      <c r="A830" s="148"/>
      <c r="B830" s="148"/>
      <c r="C830" s="53"/>
      <c r="D830" s="53"/>
      <c r="E830" s="53"/>
      <c r="F830" s="53"/>
    </row>
    <row r="831">
      <c r="A831" s="148"/>
      <c r="B831" s="148"/>
      <c r="C831" s="53"/>
      <c r="D831" s="53"/>
      <c r="E831" s="53"/>
      <c r="F831" s="53"/>
    </row>
    <row r="832">
      <c r="A832" s="148"/>
      <c r="B832" s="148"/>
      <c r="C832" s="53"/>
      <c r="D832" s="53"/>
      <c r="E832" s="53"/>
      <c r="F832" s="53"/>
    </row>
    <row r="833">
      <c r="A833" s="148"/>
      <c r="B833" s="148"/>
      <c r="C833" s="53"/>
      <c r="D833" s="53"/>
      <c r="E833" s="53"/>
      <c r="F833" s="53"/>
    </row>
    <row r="834">
      <c r="A834" s="148"/>
      <c r="B834" s="148"/>
      <c r="C834" s="53"/>
      <c r="D834" s="53"/>
      <c r="E834" s="53"/>
      <c r="F834" s="53"/>
    </row>
    <row r="835">
      <c r="A835" s="148"/>
      <c r="B835" s="148"/>
      <c r="C835" s="53"/>
      <c r="D835" s="53"/>
      <c r="E835" s="53"/>
      <c r="F835" s="53"/>
    </row>
    <row r="836">
      <c r="A836" s="148"/>
      <c r="B836" s="148"/>
      <c r="C836" s="53"/>
      <c r="D836" s="53"/>
      <c r="E836" s="53"/>
      <c r="F836" s="53"/>
    </row>
    <row r="837">
      <c r="A837" s="148"/>
      <c r="B837" s="148"/>
      <c r="C837" s="53"/>
      <c r="D837" s="53"/>
      <c r="E837" s="53"/>
      <c r="F837" s="53"/>
    </row>
    <row r="838">
      <c r="A838" s="148"/>
      <c r="B838" s="148"/>
      <c r="C838" s="53"/>
      <c r="D838" s="53"/>
      <c r="E838" s="53"/>
      <c r="F838" s="53"/>
    </row>
    <row r="839">
      <c r="A839" s="148"/>
      <c r="B839" s="148"/>
      <c r="C839" s="53"/>
      <c r="D839" s="53"/>
      <c r="E839" s="53"/>
      <c r="F839" s="53"/>
    </row>
    <row r="840">
      <c r="A840" s="148"/>
      <c r="B840" s="148"/>
      <c r="C840" s="53"/>
      <c r="D840" s="53"/>
      <c r="E840" s="53"/>
      <c r="F840" s="53"/>
    </row>
    <row r="841">
      <c r="A841" s="148"/>
      <c r="B841" s="148"/>
      <c r="C841" s="53"/>
      <c r="D841" s="53"/>
      <c r="E841" s="53"/>
      <c r="F841" s="53"/>
    </row>
    <row r="842">
      <c r="A842" s="148"/>
      <c r="B842" s="148"/>
      <c r="C842" s="53"/>
      <c r="D842" s="53"/>
      <c r="E842" s="53"/>
      <c r="F842" s="53"/>
    </row>
    <row r="843">
      <c r="A843" s="148"/>
      <c r="B843" s="148"/>
      <c r="C843" s="53"/>
      <c r="D843" s="53"/>
      <c r="E843" s="53"/>
      <c r="F843" s="53"/>
    </row>
    <row r="844">
      <c r="A844" s="148"/>
      <c r="B844" s="148"/>
      <c r="C844" s="53"/>
      <c r="D844" s="53"/>
      <c r="E844" s="53"/>
      <c r="F844" s="53"/>
    </row>
    <row r="845">
      <c r="A845" s="148"/>
      <c r="B845" s="148"/>
      <c r="C845" s="53"/>
      <c r="D845" s="53"/>
      <c r="E845" s="53"/>
      <c r="F845" s="53"/>
    </row>
    <row r="846">
      <c r="A846" s="148"/>
      <c r="B846" s="148"/>
      <c r="C846" s="53"/>
      <c r="D846" s="53"/>
      <c r="E846" s="53"/>
      <c r="F846" s="53"/>
    </row>
    <row r="847">
      <c r="A847" s="148"/>
      <c r="B847" s="148"/>
      <c r="C847" s="53"/>
      <c r="D847" s="53"/>
      <c r="E847" s="53"/>
      <c r="F847" s="53"/>
    </row>
    <row r="848">
      <c r="A848" s="148"/>
      <c r="B848" s="148"/>
      <c r="C848" s="53"/>
      <c r="D848" s="53"/>
      <c r="E848" s="53"/>
      <c r="F848" s="53"/>
    </row>
    <row r="849">
      <c r="A849" s="148"/>
      <c r="B849" s="148"/>
      <c r="C849" s="53"/>
      <c r="D849" s="53"/>
      <c r="E849" s="53"/>
      <c r="F849" s="53"/>
    </row>
    <row r="850">
      <c r="A850" s="148"/>
      <c r="B850" s="148"/>
      <c r="C850" s="53"/>
      <c r="D850" s="53"/>
      <c r="E850" s="53"/>
      <c r="F850" s="53"/>
    </row>
    <row r="851">
      <c r="A851" s="148"/>
      <c r="B851" s="148"/>
      <c r="C851" s="53"/>
      <c r="D851" s="53"/>
      <c r="E851" s="53"/>
      <c r="F851" s="53"/>
    </row>
    <row r="852">
      <c r="A852" s="148"/>
      <c r="B852" s="148"/>
      <c r="C852" s="53"/>
      <c r="D852" s="53"/>
      <c r="E852" s="53"/>
      <c r="F852" s="53"/>
    </row>
    <row r="853">
      <c r="A853" s="148"/>
      <c r="B853" s="148"/>
      <c r="C853" s="53"/>
      <c r="D853" s="53"/>
      <c r="E853" s="53"/>
      <c r="F853" s="53"/>
    </row>
    <row r="854">
      <c r="A854" s="148"/>
      <c r="B854" s="148"/>
      <c r="C854" s="53"/>
      <c r="D854" s="53"/>
      <c r="E854" s="53"/>
      <c r="F854" s="53"/>
    </row>
    <row r="855">
      <c r="A855" s="148"/>
      <c r="B855" s="148"/>
      <c r="C855" s="53"/>
      <c r="D855" s="53"/>
      <c r="E855" s="53"/>
      <c r="F855" s="53"/>
    </row>
    <row r="856">
      <c r="A856" s="148"/>
      <c r="B856" s="148"/>
      <c r="C856" s="53"/>
      <c r="D856" s="53"/>
      <c r="E856" s="53"/>
      <c r="F856" s="53"/>
    </row>
    <row r="857">
      <c r="A857" s="148"/>
      <c r="B857" s="148"/>
      <c r="C857" s="53"/>
      <c r="D857" s="53"/>
      <c r="E857" s="53"/>
      <c r="F857" s="53"/>
    </row>
    <row r="858">
      <c r="A858" s="148"/>
      <c r="B858" s="148"/>
      <c r="C858" s="53"/>
      <c r="D858" s="53"/>
      <c r="E858" s="53"/>
      <c r="F858" s="53"/>
    </row>
    <row r="859">
      <c r="A859" s="148"/>
      <c r="B859" s="148"/>
      <c r="C859" s="53"/>
      <c r="D859" s="53"/>
      <c r="E859" s="53"/>
      <c r="F859" s="53"/>
    </row>
    <row r="860">
      <c r="A860" s="148"/>
      <c r="B860" s="148"/>
      <c r="C860" s="53"/>
      <c r="D860" s="53"/>
      <c r="E860" s="53"/>
      <c r="F860" s="53"/>
    </row>
    <row r="861">
      <c r="A861" s="148"/>
      <c r="B861" s="148"/>
      <c r="C861" s="53"/>
      <c r="D861" s="53"/>
      <c r="E861" s="53"/>
      <c r="F861" s="53"/>
    </row>
    <row r="862">
      <c r="A862" s="148"/>
      <c r="B862" s="148"/>
      <c r="C862" s="53"/>
      <c r="D862" s="53"/>
      <c r="E862" s="53"/>
      <c r="F862" s="53"/>
    </row>
    <row r="863">
      <c r="A863" s="148"/>
      <c r="B863" s="148"/>
      <c r="C863" s="53"/>
      <c r="D863" s="53"/>
      <c r="E863" s="53"/>
      <c r="F863" s="53"/>
    </row>
    <row r="864">
      <c r="A864" s="148"/>
      <c r="B864" s="148"/>
      <c r="C864" s="53"/>
      <c r="D864" s="53"/>
      <c r="E864" s="53"/>
      <c r="F864" s="53"/>
    </row>
    <row r="865">
      <c r="A865" s="148"/>
      <c r="B865" s="148"/>
      <c r="C865" s="53"/>
      <c r="D865" s="53"/>
      <c r="E865" s="53"/>
      <c r="F865" s="53"/>
    </row>
    <row r="866">
      <c r="A866" s="148"/>
      <c r="B866" s="148"/>
      <c r="C866" s="53"/>
      <c r="D866" s="53"/>
      <c r="E866" s="53"/>
      <c r="F866" s="53"/>
    </row>
    <row r="867">
      <c r="A867" s="148"/>
      <c r="B867" s="148"/>
      <c r="C867" s="53"/>
      <c r="D867" s="53"/>
      <c r="E867" s="53"/>
      <c r="F867" s="53"/>
    </row>
    <row r="868">
      <c r="A868" s="148"/>
      <c r="B868" s="148"/>
      <c r="C868" s="53"/>
      <c r="D868" s="53"/>
      <c r="E868" s="53"/>
      <c r="F868" s="53"/>
    </row>
    <row r="869">
      <c r="A869" s="148"/>
      <c r="B869" s="148"/>
      <c r="C869" s="53"/>
      <c r="D869" s="53"/>
      <c r="E869" s="53"/>
      <c r="F869" s="53"/>
    </row>
    <row r="870">
      <c r="A870" s="148"/>
      <c r="B870" s="148"/>
      <c r="C870" s="53"/>
      <c r="D870" s="53"/>
      <c r="E870" s="53"/>
      <c r="F870" s="53"/>
    </row>
    <row r="871">
      <c r="A871" s="148"/>
      <c r="B871" s="148"/>
      <c r="C871" s="53"/>
      <c r="D871" s="53"/>
      <c r="E871" s="53"/>
      <c r="F871" s="53"/>
    </row>
    <row r="872">
      <c r="A872" s="148"/>
      <c r="B872" s="148"/>
      <c r="C872" s="53"/>
      <c r="D872" s="53"/>
      <c r="E872" s="53"/>
      <c r="F872" s="53"/>
    </row>
    <row r="873">
      <c r="A873" s="148"/>
      <c r="B873" s="148"/>
      <c r="C873" s="53"/>
      <c r="D873" s="53"/>
      <c r="E873" s="53"/>
      <c r="F873" s="53"/>
    </row>
    <row r="874">
      <c r="A874" s="148"/>
      <c r="B874" s="148"/>
      <c r="C874" s="53"/>
      <c r="D874" s="53"/>
      <c r="E874" s="53"/>
      <c r="F874" s="53"/>
    </row>
    <row r="875">
      <c r="A875" s="148"/>
      <c r="B875" s="148"/>
      <c r="C875" s="53"/>
      <c r="D875" s="53"/>
      <c r="E875" s="53"/>
      <c r="F875" s="53"/>
    </row>
    <row r="876">
      <c r="A876" s="148"/>
      <c r="B876" s="148"/>
      <c r="C876" s="53"/>
      <c r="D876" s="53"/>
      <c r="E876" s="53"/>
      <c r="F876" s="53"/>
    </row>
    <row r="877">
      <c r="A877" s="148"/>
      <c r="B877" s="148"/>
      <c r="C877" s="53"/>
      <c r="D877" s="53"/>
      <c r="E877" s="53"/>
      <c r="F877" s="53"/>
    </row>
    <row r="878">
      <c r="A878" s="148"/>
      <c r="B878" s="148"/>
      <c r="C878" s="53"/>
      <c r="D878" s="53"/>
      <c r="E878" s="53"/>
      <c r="F878" s="53"/>
    </row>
    <row r="879">
      <c r="A879" s="148"/>
      <c r="B879" s="148"/>
      <c r="C879" s="53"/>
      <c r="D879" s="53"/>
      <c r="E879" s="53"/>
      <c r="F879" s="53"/>
    </row>
    <row r="880">
      <c r="A880" s="148"/>
      <c r="B880" s="148"/>
      <c r="C880" s="53"/>
      <c r="D880" s="53"/>
      <c r="E880" s="53"/>
      <c r="F880" s="53"/>
    </row>
    <row r="881">
      <c r="A881" s="148"/>
      <c r="B881" s="148"/>
      <c r="C881" s="53"/>
      <c r="D881" s="53"/>
      <c r="E881" s="53"/>
      <c r="F881" s="53"/>
    </row>
    <row r="882">
      <c r="A882" s="148"/>
      <c r="B882" s="148"/>
      <c r="C882" s="53"/>
      <c r="D882" s="53"/>
      <c r="E882" s="53"/>
      <c r="F882" s="53"/>
    </row>
    <row r="883">
      <c r="A883" s="148"/>
      <c r="B883" s="148"/>
      <c r="C883" s="53"/>
      <c r="D883" s="53"/>
      <c r="E883" s="53"/>
      <c r="F883" s="53"/>
    </row>
    <row r="884">
      <c r="A884" s="148"/>
      <c r="B884" s="148"/>
      <c r="C884" s="53"/>
      <c r="D884" s="53"/>
      <c r="E884" s="53"/>
      <c r="F884" s="53"/>
    </row>
    <row r="885">
      <c r="A885" s="148"/>
      <c r="B885" s="148"/>
      <c r="C885" s="53"/>
      <c r="D885" s="53"/>
      <c r="E885" s="53"/>
      <c r="F885" s="53"/>
    </row>
    <row r="886">
      <c r="A886" s="148"/>
      <c r="B886" s="148"/>
      <c r="C886" s="53"/>
      <c r="D886" s="53"/>
      <c r="E886" s="53"/>
      <c r="F886" s="53"/>
    </row>
    <row r="887">
      <c r="A887" s="148"/>
      <c r="B887" s="148"/>
      <c r="C887" s="53"/>
      <c r="D887" s="53"/>
      <c r="E887" s="53"/>
      <c r="F887" s="53"/>
    </row>
    <row r="888">
      <c r="A888" s="148"/>
      <c r="B888" s="148"/>
      <c r="C888" s="53"/>
      <c r="D888" s="53"/>
      <c r="E888" s="53"/>
      <c r="F888" s="53"/>
    </row>
    <row r="889">
      <c r="A889" s="148"/>
      <c r="B889" s="148"/>
      <c r="C889" s="53"/>
      <c r="D889" s="53"/>
      <c r="E889" s="53"/>
      <c r="F889" s="53"/>
    </row>
    <row r="890">
      <c r="A890" s="148"/>
      <c r="B890" s="148"/>
      <c r="C890" s="53"/>
      <c r="D890" s="53"/>
      <c r="E890" s="53"/>
      <c r="F890" s="53"/>
    </row>
    <row r="891">
      <c r="A891" s="148"/>
      <c r="B891" s="148"/>
      <c r="C891" s="53"/>
      <c r="D891" s="53"/>
      <c r="E891" s="53"/>
      <c r="F891" s="53"/>
    </row>
    <row r="892">
      <c r="A892" s="148"/>
      <c r="B892" s="148"/>
      <c r="C892" s="53"/>
      <c r="D892" s="53"/>
      <c r="E892" s="53"/>
      <c r="F892" s="53"/>
    </row>
    <row r="893">
      <c r="A893" s="148"/>
      <c r="B893" s="148"/>
      <c r="C893" s="53"/>
      <c r="D893" s="53"/>
      <c r="E893" s="53"/>
      <c r="F893" s="53"/>
    </row>
    <row r="894">
      <c r="A894" s="148"/>
      <c r="B894" s="148"/>
      <c r="C894" s="53"/>
      <c r="D894" s="53"/>
      <c r="E894" s="53"/>
      <c r="F894" s="53"/>
    </row>
    <row r="895">
      <c r="A895" s="148"/>
      <c r="B895" s="148"/>
      <c r="C895" s="53"/>
      <c r="D895" s="53"/>
      <c r="E895" s="53"/>
      <c r="F895" s="53"/>
    </row>
    <row r="896">
      <c r="A896" s="148"/>
      <c r="B896" s="148"/>
      <c r="C896" s="53"/>
      <c r="D896" s="53"/>
      <c r="E896" s="53"/>
      <c r="F896" s="53"/>
    </row>
    <row r="897">
      <c r="A897" s="148"/>
      <c r="B897" s="148"/>
      <c r="C897" s="53"/>
      <c r="D897" s="53"/>
      <c r="E897" s="53"/>
      <c r="F897" s="53"/>
    </row>
    <row r="898">
      <c r="A898" s="148"/>
      <c r="B898" s="148"/>
      <c r="C898" s="53"/>
      <c r="D898" s="53"/>
      <c r="E898" s="53"/>
      <c r="F898" s="53"/>
    </row>
    <row r="899">
      <c r="A899" s="148"/>
      <c r="B899" s="148"/>
      <c r="C899" s="53"/>
      <c r="D899" s="53"/>
      <c r="E899" s="53"/>
      <c r="F899" s="53"/>
    </row>
    <row r="900">
      <c r="A900" s="148"/>
      <c r="B900" s="148"/>
      <c r="C900" s="53"/>
      <c r="D900" s="53"/>
      <c r="E900" s="53"/>
      <c r="F900" s="53"/>
    </row>
    <row r="901">
      <c r="A901" s="148"/>
      <c r="B901" s="148"/>
      <c r="C901" s="53"/>
      <c r="D901" s="53"/>
      <c r="E901" s="53"/>
      <c r="F901" s="53"/>
    </row>
    <row r="902">
      <c r="A902" s="148"/>
      <c r="B902" s="148"/>
      <c r="C902" s="53"/>
      <c r="D902" s="53"/>
      <c r="E902" s="53"/>
      <c r="F902" s="53"/>
    </row>
    <row r="903">
      <c r="A903" s="148"/>
      <c r="B903" s="148"/>
      <c r="C903" s="53"/>
      <c r="D903" s="53"/>
      <c r="E903" s="53"/>
      <c r="F903" s="53"/>
    </row>
    <row r="904">
      <c r="A904" s="148"/>
      <c r="B904" s="148"/>
      <c r="C904" s="53"/>
      <c r="D904" s="53"/>
      <c r="E904" s="53"/>
      <c r="F904" s="53"/>
    </row>
    <row r="905">
      <c r="A905" s="148"/>
      <c r="B905" s="148"/>
      <c r="C905" s="53"/>
      <c r="D905" s="53"/>
      <c r="E905" s="53"/>
      <c r="F905" s="53"/>
    </row>
    <row r="906">
      <c r="A906" s="148"/>
      <c r="B906" s="148"/>
      <c r="C906" s="53"/>
      <c r="D906" s="53"/>
      <c r="E906" s="53"/>
      <c r="F906" s="53"/>
    </row>
    <row r="907">
      <c r="A907" s="148"/>
      <c r="B907" s="148"/>
      <c r="C907" s="53"/>
      <c r="D907" s="53"/>
      <c r="E907" s="53"/>
      <c r="F907" s="53"/>
    </row>
    <row r="908">
      <c r="A908" s="148"/>
      <c r="B908" s="148"/>
      <c r="C908" s="53"/>
      <c r="D908" s="53"/>
      <c r="E908" s="53"/>
      <c r="F908" s="53"/>
    </row>
    <row r="909">
      <c r="A909" s="148"/>
      <c r="B909" s="148"/>
      <c r="C909" s="53"/>
      <c r="D909" s="53"/>
      <c r="E909" s="53"/>
      <c r="F909" s="53"/>
    </row>
    <row r="910">
      <c r="A910" s="148"/>
      <c r="B910" s="148"/>
      <c r="C910" s="53"/>
      <c r="D910" s="53"/>
      <c r="E910" s="53"/>
      <c r="F910" s="53"/>
    </row>
    <row r="911">
      <c r="A911" s="148"/>
      <c r="B911" s="148"/>
      <c r="C911" s="53"/>
      <c r="D911" s="53"/>
      <c r="E911" s="53"/>
      <c r="F911" s="53"/>
    </row>
    <row r="912">
      <c r="A912" s="148"/>
      <c r="B912" s="148"/>
      <c r="C912" s="53"/>
      <c r="D912" s="53"/>
      <c r="E912" s="53"/>
      <c r="F912" s="53"/>
    </row>
    <row r="913">
      <c r="A913" s="148"/>
      <c r="B913" s="148"/>
      <c r="C913" s="53"/>
      <c r="D913" s="53"/>
      <c r="E913" s="53"/>
      <c r="F913" s="53"/>
    </row>
    <row r="914">
      <c r="A914" s="148"/>
      <c r="B914" s="148"/>
      <c r="C914" s="53"/>
      <c r="D914" s="53"/>
      <c r="E914" s="53"/>
      <c r="F914" s="53"/>
    </row>
    <row r="915">
      <c r="A915" s="148"/>
      <c r="B915" s="148"/>
      <c r="C915" s="53"/>
      <c r="D915" s="53"/>
      <c r="E915" s="53"/>
      <c r="F915" s="53"/>
    </row>
    <row r="916">
      <c r="A916" s="148"/>
      <c r="B916" s="148"/>
      <c r="C916" s="53"/>
      <c r="D916" s="53"/>
      <c r="E916" s="53"/>
      <c r="F916" s="53"/>
    </row>
    <row r="917">
      <c r="A917" s="148"/>
      <c r="B917" s="148"/>
      <c r="C917" s="53"/>
      <c r="D917" s="53"/>
      <c r="E917" s="53"/>
      <c r="F917" s="53"/>
    </row>
    <row r="918">
      <c r="A918" s="148"/>
      <c r="B918" s="148"/>
      <c r="C918" s="53"/>
      <c r="D918" s="53"/>
      <c r="E918" s="53"/>
      <c r="F918" s="53"/>
    </row>
    <row r="919">
      <c r="A919" s="148"/>
      <c r="B919" s="148"/>
      <c r="C919" s="53"/>
      <c r="D919" s="53"/>
      <c r="E919" s="53"/>
      <c r="F919" s="53"/>
    </row>
    <row r="920">
      <c r="A920" s="148"/>
      <c r="B920" s="148"/>
      <c r="C920" s="53"/>
      <c r="D920" s="53"/>
      <c r="E920" s="53"/>
      <c r="F920" s="53"/>
    </row>
    <row r="921">
      <c r="A921" s="148"/>
      <c r="B921" s="148"/>
      <c r="C921" s="53"/>
      <c r="D921" s="53"/>
      <c r="E921" s="53"/>
      <c r="F921" s="53"/>
    </row>
    <row r="922">
      <c r="A922" s="148"/>
      <c r="B922" s="148"/>
      <c r="C922" s="53"/>
      <c r="D922" s="53"/>
      <c r="E922" s="53"/>
      <c r="F922" s="53"/>
    </row>
    <row r="923">
      <c r="A923" s="148"/>
      <c r="B923" s="148"/>
      <c r="C923" s="53"/>
      <c r="D923" s="53"/>
      <c r="E923" s="53"/>
      <c r="F923" s="53"/>
    </row>
    <row r="924">
      <c r="A924" s="148"/>
      <c r="B924" s="148"/>
      <c r="C924" s="53"/>
      <c r="D924" s="53"/>
      <c r="E924" s="53"/>
      <c r="F924" s="53"/>
    </row>
    <row r="925">
      <c r="A925" s="148"/>
      <c r="B925" s="148"/>
      <c r="C925" s="53"/>
      <c r="D925" s="53"/>
      <c r="E925" s="53"/>
      <c r="F925" s="53"/>
    </row>
    <row r="926">
      <c r="A926" s="148"/>
      <c r="B926" s="148"/>
      <c r="C926" s="53"/>
      <c r="D926" s="53"/>
      <c r="E926" s="53"/>
      <c r="F926" s="53"/>
    </row>
    <row r="927">
      <c r="A927" s="148"/>
      <c r="B927" s="148"/>
      <c r="C927" s="53"/>
      <c r="D927" s="53"/>
      <c r="E927" s="53"/>
      <c r="F927" s="53"/>
    </row>
    <row r="928">
      <c r="A928" s="148"/>
      <c r="B928" s="148"/>
      <c r="C928" s="53"/>
      <c r="D928" s="53"/>
      <c r="E928" s="53"/>
      <c r="F928" s="53"/>
    </row>
    <row r="929">
      <c r="A929" s="148"/>
      <c r="B929" s="148"/>
      <c r="C929" s="53"/>
      <c r="D929" s="53"/>
      <c r="E929" s="53"/>
      <c r="F929" s="53"/>
    </row>
    <row r="930">
      <c r="A930" s="148"/>
      <c r="B930" s="148"/>
      <c r="C930" s="53"/>
      <c r="D930" s="53"/>
      <c r="E930" s="53"/>
      <c r="F930" s="53"/>
    </row>
    <row r="931">
      <c r="A931" s="148"/>
      <c r="B931" s="148"/>
      <c r="C931" s="53"/>
      <c r="D931" s="53"/>
      <c r="E931" s="53"/>
      <c r="F931" s="53"/>
    </row>
    <row r="932">
      <c r="A932" s="148"/>
      <c r="B932" s="148"/>
      <c r="C932" s="53"/>
      <c r="D932" s="53"/>
      <c r="E932" s="53"/>
      <c r="F932" s="53"/>
    </row>
    <row r="933">
      <c r="A933" s="148"/>
      <c r="B933" s="148"/>
      <c r="C933" s="53"/>
      <c r="D933" s="53"/>
      <c r="E933" s="53"/>
      <c r="F933" s="53"/>
    </row>
    <row r="934">
      <c r="A934" s="148"/>
      <c r="B934" s="148"/>
      <c r="C934" s="53"/>
      <c r="D934" s="53"/>
      <c r="E934" s="53"/>
      <c r="F934" s="53"/>
    </row>
    <row r="935">
      <c r="A935" s="148"/>
      <c r="B935" s="148"/>
      <c r="C935" s="53"/>
      <c r="D935" s="53"/>
      <c r="E935" s="53"/>
      <c r="F935" s="53"/>
    </row>
    <row r="936">
      <c r="A936" s="148"/>
      <c r="B936" s="148"/>
      <c r="C936" s="53"/>
      <c r="D936" s="53"/>
      <c r="E936" s="53"/>
      <c r="F936" s="53"/>
    </row>
    <row r="937">
      <c r="A937" s="148"/>
      <c r="B937" s="148"/>
      <c r="C937" s="53"/>
      <c r="D937" s="53"/>
      <c r="E937" s="53"/>
      <c r="F937" s="53"/>
    </row>
    <row r="938">
      <c r="A938" s="148"/>
      <c r="B938" s="148"/>
      <c r="C938" s="53"/>
      <c r="D938" s="53"/>
      <c r="E938" s="53"/>
      <c r="F938" s="53"/>
    </row>
    <row r="939">
      <c r="A939" s="148"/>
      <c r="B939" s="148"/>
      <c r="C939" s="53"/>
      <c r="D939" s="53"/>
      <c r="E939" s="53"/>
      <c r="F939" s="53"/>
    </row>
    <row r="940">
      <c r="A940" s="148"/>
      <c r="B940" s="148"/>
      <c r="C940" s="53"/>
      <c r="D940" s="53"/>
      <c r="E940" s="53"/>
      <c r="F940" s="53"/>
    </row>
    <row r="941">
      <c r="A941" s="148"/>
      <c r="B941" s="148"/>
      <c r="C941" s="53"/>
      <c r="D941" s="53"/>
      <c r="E941" s="53"/>
      <c r="F941" s="53"/>
    </row>
    <row r="942">
      <c r="A942" s="148"/>
      <c r="B942" s="148"/>
      <c r="C942" s="53"/>
      <c r="D942" s="53"/>
      <c r="E942" s="53"/>
      <c r="F942" s="53"/>
    </row>
    <row r="943">
      <c r="A943" s="148"/>
      <c r="B943" s="148"/>
      <c r="C943" s="53"/>
      <c r="D943" s="53"/>
      <c r="E943" s="53"/>
      <c r="F943" s="53"/>
    </row>
    <row r="944">
      <c r="A944" s="148"/>
      <c r="B944" s="148"/>
      <c r="C944" s="53"/>
      <c r="D944" s="53"/>
      <c r="E944" s="53"/>
      <c r="F944" s="53"/>
    </row>
    <row r="945">
      <c r="A945" s="148"/>
      <c r="B945" s="148"/>
      <c r="C945" s="53"/>
      <c r="D945" s="53"/>
      <c r="E945" s="53"/>
      <c r="F945" s="53"/>
    </row>
    <row r="946">
      <c r="A946" s="148"/>
      <c r="B946" s="148"/>
      <c r="C946" s="53"/>
      <c r="D946" s="53"/>
      <c r="E946" s="53"/>
      <c r="F946" s="53"/>
    </row>
    <row r="947">
      <c r="A947" s="148"/>
      <c r="B947" s="148"/>
      <c r="C947" s="53"/>
      <c r="D947" s="53"/>
      <c r="E947" s="53"/>
      <c r="F947" s="53"/>
    </row>
    <row r="948">
      <c r="A948" s="148"/>
      <c r="B948" s="148"/>
      <c r="C948" s="53"/>
      <c r="D948" s="53"/>
      <c r="E948" s="53"/>
      <c r="F948" s="53"/>
    </row>
    <row r="949">
      <c r="A949" s="148"/>
      <c r="B949" s="148"/>
      <c r="C949" s="53"/>
      <c r="D949" s="53"/>
      <c r="E949" s="53"/>
      <c r="F949" s="53"/>
    </row>
    <row r="950">
      <c r="A950" s="148"/>
      <c r="B950" s="148"/>
      <c r="C950" s="53"/>
      <c r="D950" s="53"/>
      <c r="E950" s="53"/>
      <c r="F950" s="53"/>
    </row>
    <row r="951">
      <c r="A951" s="148"/>
      <c r="B951" s="148"/>
      <c r="C951" s="53"/>
      <c r="D951" s="53"/>
      <c r="E951" s="53"/>
      <c r="F951" s="53"/>
    </row>
    <row r="952">
      <c r="A952" s="148"/>
      <c r="B952" s="148"/>
      <c r="C952" s="53"/>
      <c r="D952" s="53"/>
      <c r="E952" s="53"/>
      <c r="F952" s="53"/>
    </row>
    <row r="953">
      <c r="A953" s="148"/>
      <c r="B953" s="148"/>
      <c r="C953" s="53"/>
      <c r="D953" s="53"/>
      <c r="E953" s="53"/>
      <c r="F953" s="53"/>
    </row>
    <row r="954">
      <c r="A954" s="148"/>
      <c r="B954" s="148"/>
      <c r="C954" s="53"/>
      <c r="D954" s="53"/>
      <c r="E954" s="53"/>
      <c r="F954" s="53"/>
    </row>
    <row r="955">
      <c r="A955" s="148"/>
      <c r="B955" s="148"/>
      <c r="C955" s="53"/>
      <c r="D955" s="53"/>
      <c r="E955" s="53"/>
      <c r="F955" s="53"/>
    </row>
    <row r="956">
      <c r="A956" s="148"/>
      <c r="B956" s="148"/>
      <c r="C956" s="53"/>
      <c r="D956" s="53"/>
      <c r="E956" s="53"/>
      <c r="F956" s="53"/>
    </row>
    <row r="957">
      <c r="A957" s="148"/>
      <c r="B957" s="148"/>
      <c r="C957" s="53"/>
      <c r="D957" s="53"/>
      <c r="E957" s="53"/>
      <c r="F957" s="53"/>
    </row>
    <row r="958">
      <c r="A958" s="148"/>
      <c r="B958" s="148"/>
      <c r="C958" s="53"/>
      <c r="D958" s="53"/>
      <c r="E958" s="53"/>
      <c r="F958" s="53"/>
    </row>
    <row r="959">
      <c r="A959" s="148"/>
      <c r="B959" s="148"/>
      <c r="C959" s="53"/>
      <c r="D959" s="53"/>
      <c r="E959" s="53"/>
      <c r="F959" s="53"/>
    </row>
    <row r="960">
      <c r="A960" s="148"/>
      <c r="B960" s="148"/>
      <c r="C960" s="53"/>
      <c r="D960" s="53"/>
      <c r="E960" s="53"/>
      <c r="F960" s="53"/>
    </row>
    <row r="961">
      <c r="A961" s="148"/>
      <c r="B961" s="148"/>
      <c r="C961" s="53"/>
      <c r="D961" s="53"/>
      <c r="E961" s="53"/>
      <c r="F961" s="53"/>
    </row>
    <row r="962">
      <c r="A962" s="148"/>
      <c r="B962" s="148"/>
      <c r="C962" s="53"/>
      <c r="D962" s="53"/>
      <c r="E962" s="53"/>
      <c r="F962" s="53"/>
    </row>
    <row r="963">
      <c r="A963" s="148"/>
      <c r="B963" s="148"/>
      <c r="C963" s="53"/>
      <c r="D963" s="53"/>
      <c r="E963" s="53"/>
      <c r="F963" s="53"/>
    </row>
    <row r="964">
      <c r="A964" s="148"/>
      <c r="B964" s="148"/>
      <c r="C964" s="53"/>
      <c r="D964" s="53"/>
      <c r="E964" s="53"/>
      <c r="F964" s="53"/>
    </row>
    <row r="965">
      <c r="A965" s="148"/>
      <c r="B965" s="148"/>
      <c r="C965" s="53"/>
      <c r="D965" s="53"/>
      <c r="E965" s="53"/>
      <c r="F965" s="53"/>
    </row>
    <row r="966">
      <c r="A966" s="148"/>
      <c r="B966" s="148"/>
      <c r="C966" s="53"/>
      <c r="D966" s="53"/>
      <c r="E966" s="53"/>
      <c r="F966" s="53"/>
    </row>
    <row r="967">
      <c r="A967" s="148"/>
      <c r="B967" s="148"/>
      <c r="C967" s="53"/>
      <c r="D967" s="53"/>
      <c r="E967" s="53"/>
      <c r="F967" s="53"/>
    </row>
    <row r="968">
      <c r="A968" s="148"/>
      <c r="B968" s="148"/>
      <c r="C968" s="53"/>
      <c r="D968" s="53"/>
      <c r="E968" s="53"/>
      <c r="F968" s="53"/>
    </row>
    <row r="969">
      <c r="A969" s="148"/>
      <c r="B969" s="148"/>
      <c r="C969" s="53"/>
      <c r="D969" s="53"/>
      <c r="E969" s="53"/>
      <c r="F969" s="53"/>
    </row>
    <row r="970">
      <c r="A970" s="148"/>
      <c r="B970" s="148"/>
      <c r="C970" s="53"/>
      <c r="D970" s="53"/>
      <c r="E970" s="53"/>
      <c r="F970" s="53"/>
    </row>
    <row r="971">
      <c r="A971" s="148"/>
      <c r="B971" s="148"/>
      <c r="C971" s="53"/>
      <c r="D971" s="53"/>
      <c r="E971" s="53"/>
      <c r="F971" s="53"/>
    </row>
    <row r="972">
      <c r="A972" s="148"/>
      <c r="B972" s="148"/>
      <c r="C972" s="53"/>
      <c r="D972" s="53"/>
      <c r="E972" s="53"/>
      <c r="F972" s="53"/>
    </row>
    <row r="973">
      <c r="A973" s="148"/>
      <c r="B973" s="148"/>
      <c r="C973" s="53"/>
      <c r="D973" s="53"/>
      <c r="E973" s="53"/>
      <c r="F973" s="53"/>
    </row>
    <row r="974">
      <c r="A974" s="148"/>
      <c r="B974" s="148"/>
      <c r="C974" s="53"/>
      <c r="D974" s="53"/>
      <c r="E974" s="53"/>
      <c r="F974" s="53"/>
    </row>
    <row r="975">
      <c r="A975" s="148"/>
      <c r="B975" s="148"/>
      <c r="C975" s="53"/>
      <c r="D975" s="53"/>
      <c r="E975" s="53"/>
      <c r="F975" s="53"/>
    </row>
    <row r="976">
      <c r="A976" s="148"/>
      <c r="B976" s="148"/>
      <c r="C976" s="53"/>
      <c r="D976" s="53"/>
      <c r="E976" s="53"/>
      <c r="F976" s="53"/>
    </row>
    <row r="977">
      <c r="A977" s="148"/>
      <c r="B977" s="148"/>
      <c r="C977" s="53"/>
      <c r="D977" s="53"/>
      <c r="E977" s="53"/>
      <c r="F977" s="53"/>
    </row>
    <row r="978">
      <c r="A978" s="148"/>
      <c r="B978" s="148"/>
      <c r="C978" s="53"/>
      <c r="D978" s="53"/>
      <c r="E978" s="53"/>
      <c r="F978" s="53"/>
    </row>
    <row r="979">
      <c r="A979" s="148"/>
      <c r="B979" s="148"/>
      <c r="C979" s="53"/>
      <c r="D979" s="53"/>
      <c r="E979" s="53"/>
      <c r="F979" s="53"/>
    </row>
    <row r="980">
      <c r="A980" s="148"/>
      <c r="B980" s="148"/>
      <c r="C980" s="53"/>
      <c r="D980" s="53"/>
      <c r="E980" s="53"/>
      <c r="F980" s="53"/>
    </row>
    <row r="981">
      <c r="A981" s="148"/>
      <c r="B981" s="148"/>
      <c r="C981" s="53"/>
      <c r="D981" s="53"/>
      <c r="E981" s="53"/>
      <c r="F981" s="53"/>
    </row>
    <row r="982">
      <c r="A982" s="148"/>
      <c r="B982" s="148"/>
      <c r="C982" s="53"/>
      <c r="D982" s="53"/>
      <c r="E982" s="53"/>
      <c r="F982" s="53"/>
    </row>
    <row r="983">
      <c r="A983" s="148"/>
      <c r="B983" s="148"/>
      <c r="C983" s="53"/>
      <c r="D983" s="53"/>
      <c r="E983" s="53"/>
      <c r="F983" s="53"/>
    </row>
    <row r="984">
      <c r="A984" s="148"/>
      <c r="B984" s="148"/>
      <c r="C984" s="53"/>
      <c r="D984" s="53"/>
      <c r="E984" s="53"/>
      <c r="F984" s="53"/>
    </row>
    <row r="985">
      <c r="A985" s="148"/>
      <c r="B985" s="148"/>
      <c r="C985" s="53"/>
      <c r="D985" s="53"/>
      <c r="E985" s="53"/>
      <c r="F985" s="53"/>
    </row>
    <row r="986">
      <c r="A986" s="148"/>
      <c r="B986" s="148"/>
      <c r="C986" s="53"/>
      <c r="D986" s="53"/>
      <c r="E986" s="53"/>
      <c r="F986" s="53"/>
    </row>
    <row r="987">
      <c r="A987" s="148"/>
      <c r="B987" s="148"/>
      <c r="C987" s="53"/>
      <c r="D987" s="53"/>
      <c r="E987" s="53"/>
      <c r="F987" s="53"/>
    </row>
    <row r="988">
      <c r="A988" s="148"/>
      <c r="B988" s="148"/>
      <c r="C988" s="53"/>
      <c r="D988" s="53"/>
      <c r="E988" s="53"/>
      <c r="F988" s="53"/>
    </row>
    <row r="989">
      <c r="A989" s="148"/>
      <c r="B989" s="148"/>
      <c r="C989" s="53"/>
      <c r="D989" s="53"/>
      <c r="E989" s="53"/>
      <c r="F989" s="53"/>
    </row>
    <row r="990">
      <c r="A990" s="148"/>
      <c r="B990" s="148"/>
      <c r="C990" s="53"/>
      <c r="D990" s="53"/>
      <c r="E990" s="53"/>
      <c r="F990" s="53"/>
    </row>
    <row r="991">
      <c r="A991" s="148"/>
      <c r="B991" s="148"/>
      <c r="C991" s="53"/>
      <c r="D991" s="53"/>
      <c r="E991" s="53"/>
      <c r="F991" s="53"/>
    </row>
    <row r="992">
      <c r="A992" s="148"/>
      <c r="B992" s="148"/>
      <c r="C992" s="53"/>
      <c r="D992" s="53"/>
      <c r="E992" s="53"/>
      <c r="F992" s="53"/>
    </row>
    <row r="993">
      <c r="A993" s="148"/>
      <c r="B993" s="148"/>
      <c r="C993" s="53"/>
      <c r="D993" s="53"/>
      <c r="E993" s="53"/>
      <c r="F993" s="53"/>
    </row>
    <row r="994">
      <c r="A994" s="148"/>
      <c r="B994" s="148"/>
      <c r="C994" s="53"/>
      <c r="D994" s="53"/>
      <c r="E994" s="53"/>
      <c r="F994" s="53"/>
    </row>
    <row r="995">
      <c r="A995" s="148"/>
      <c r="B995" s="148"/>
      <c r="C995" s="53"/>
      <c r="D995" s="53"/>
      <c r="E995" s="53"/>
      <c r="F995" s="53"/>
    </row>
    <row r="996">
      <c r="A996" s="148"/>
      <c r="B996" s="148"/>
      <c r="C996" s="53"/>
      <c r="D996" s="53"/>
      <c r="E996" s="53"/>
      <c r="F996" s="53"/>
    </row>
    <row r="997">
      <c r="A997" s="148"/>
      <c r="B997" s="148"/>
      <c r="C997" s="53"/>
      <c r="D997" s="53"/>
      <c r="E997" s="53"/>
      <c r="F997" s="53"/>
    </row>
    <row r="998">
      <c r="A998" s="148"/>
      <c r="B998" s="148"/>
      <c r="C998" s="53"/>
      <c r="D998" s="53"/>
      <c r="E998" s="53"/>
      <c r="F998" s="53"/>
    </row>
    <row r="999">
      <c r="A999" s="148"/>
      <c r="B999" s="148"/>
      <c r="C999" s="53"/>
      <c r="D999" s="53"/>
      <c r="E999" s="53"/>
      <c r="F999" s="53"/>
    </row>
    <row r="1000">
      <c r="A1000" s="148"/>
      <c r="B1000" s="148"/>
      <c r="C1000" s="53"/>
      <c r="D1000" s="53"/>
      <c r="E1000" s="53"/>
      <c r="F1000" s="53"/>
    </row>
    <row r="1001">
      <c r="A1001" s="148"/>
      <c r="B1001" s="148"/>
      <c r="C1001" s="53"/>
      <c r="D1001" s="53"/>
      <c r="E1001" s="53"/>
      <c r="F1001" s="53"/>
    </row>
    <row r="1002">
      <c r="A1002" s="148"/>
      <c r="B1002" s="148"/>
      <c r="C1002" s="53"/>
      <c r="D1002" s="53"/>
      <c r="E1002" s="53"/>
      <c r="F1002" s="53"/>
    </row>
    <row r="1003">
      <c r="A1003" s="148"/>
      <c r="B1003" s="148"/>
      <c r="C1003" s="53"/>
      <c r="D1003" s="53"/>
      <c r="E1003" s="53"/>
      <c r="F1003" s="53"/>
    </row>
    <row r="1004">
      <c r="A1004" s="148"/>
      <c r="B1004" s="148"/>
      <c r="C1004" s="53"/>
      <c r="D1004" s="53"/>
      <c r="E1004" s="53"/>
      <c r="F1004" s="53"/>
    </row>
  </sheetData>
  <mergeCells count="1">
    <mergeCell ref="A1:A1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9" t="s">
        <v>582</v>
      </c>
      <c r="B1" s="139" t="s">
        <v>583</v>
      </c>
      <c r="C1" s="139" t="s">
        <v>584</v>
      </c>
      <c r="D1" s="139" t="s">
        <v>585</v>
      </c>
      <c r="E1" s="139" t="s">
        <v>586</v>
      </c>
      <c r="F1" s="139" t="s">
        <v>587</v>
      </c>
      <c r="G1" s="139" t="s">
        <v>588</v>
      </c>
      <c r="H1" s="139" t="s">
        <v>589</v>
      </c>
      <c r="I1" s="139" t="s">
        <v>590</v>
      </c>
      <c r="J1" s="139" t="s">
        <v>591</v>
      </c>
      <c r="K1" s="57"/>
      <c r="L1" s="57"/>
      <c r="M1" s="139" t="s">
        <v>617</v>
      </c>
      <c r="N1" s="139" t="s">
        <v>618</v>
      </c>
      <c r="O1" s="139" t="s">
        <v>619</v>
      </c>
      <c r="P1" s="139" t="s">
        <v>620</v>
      </c>
      <c r="Q1" s="139" t="s">
        <v>621</v>
      </c>
      <c r="R1" s="139" t="s">
        <v>622</v>
      </c>
      <c r="S1" s="139" t="s">
        <v>623</v>
      </c>
      <c r="T1" s="139" t="s">
        <v>624</v>
      </c>
      <c r="U1" s="139" t="s">
        <v>625</v>
      </c>
      <c r="V1" s="139"/>
      <c r="W1" s="57"/>
      <c r="X1" s="57"/>
      <c r="Y1" s="57"/>
      <c r="Z1" s="57"/>
      <c r="AA1" s="57"/>
    </row>
    <row r="2">
      <c r="A2" s="89" t="s">
        <v>600</v>
      </c>
      <c r="B2" s="89">
        <v>360000.0</v>
      </c>
      <c r="C2" s="89">
        <v>190381.0</v>
      </c>
      <c r="D2" s="89">
        <v>9.0</v>
      </c>
      <c r="E2" s="89">
        <v>8.0</v>
      </c>
      <c r="F2" s="89">
        <v>6.0</v>
      </c>
      <c r="G2" s="57">
        <f t="shared" ref="G2:G3" si="2">E2-F2</f>
        <v>2</v>
      </c>
      <c r="H2" s="89">
        <v>16.0</v>
      </c>
      <c r="I2" s="89">
        <v>10.0</v>
      </c>
      <c r="J2" s="57">
        <f t="shared" ref="J2:J3" si="3">H2-I2</f>
        <v>6</v>
      </c>
      <c r="K2" s="57"/>
      <c r="L2" s="57"/>
      <c r="M2" s="140">
        <v>213457.0</v>
      </c>
      <c r="N2" s="140">
        <v>122534.0</v>
      </c>
      <c r="O2" s="140">
        <f t="shared" ref="O2:O3" si="4">M2-N2</f>
        <v>90923</v>
      </c>
      <c r="P2" s="89">
        <v>4.0</v>
      </c>
      <c r="Q2" s="89">
        <v>7.0</v>
      </c>
      <c r="R2" s="89">
        <v>105190.0</v>
      </c>
      <c r="S2" s="89">
        <v>17379.0</v>
      </c>
      <c r="T2" s="57">
        <f t="shared" ref="T2:U2" si="1">IF(P2&gt;0, R2/P2, 0)
</f>
        <v>26297.5</v>
      </c>
      <c r="U2" s="57">
        <f t="shared" si="1"/>
        <v>2482.714286</v>
      </c>
      <c r="V2" s="57"/>
      <c r="W2" s="57"/>
      <c r="X2" s="57"/>
      <c r="Y2" s="57"/>
      <c r="Z2" s="57"/>
      <c r="AA2" s="57"/>
    </row>
    <row r="3">
      <c r="A3" s="89" t="s">
        <v>601</v>
      </c>
      <c r="B3" s="50">
        <v>900000.0</v>
      </c>
      <c r="C3" s="50">
        <v>208254.0</v>
      </c>
      <c r="D3" s="50">
        <v>15.0</v>
      </c>
      <c r="E3" s="50">
        <v>8.0</v>
      </c>
      <c r="F3" s="50">
        <v>4.0</v>
      </c>
      <c r="G3" s="49">
        <f t="shared" si="2"/>
        <v>4</v>
      </c>
      <c r="H3" s="50">
        <v>24.0</v>
      </c>
      <c r="I3" s="50">
        <v>12.0</v>
      </c>
      <c r="J3" s="49">
        <f t="shared" si="3"/>
        <v>12</v>
      </c>
      <c r="M3" s="50">
        <v>387186.0</v>
      </c>
      <c r="N3" s="50">
        <v>118968.0</v>
      </c>
      <c r="O3" s="140">
        <f t="shared" si="4"/>
        <v>268218</v>
      </c>
      <c r="P3" s="50">
        <v>4.0</v>
      </c>
      <c r="Q3" s="50">
        <v>12.0</v>
      </c>
      <c r="R3" s="89">
        <v>21664.0</v>
      </c>
      <c r="S3" s="89">
        <v>97327.0</v>
      </c>
      <c r="T3" s="57">
        <f t="shared" ref="T3:U3" si="5">IF(P3&gt;0, R3/P3, 0)
</f>
        <v>5416</v>
      </c>
      <c r="U3" s="57">
        <f t="shared" si="5"/>
        <v>8110.583333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75"/>
    <col customWidth="1" min="6" max="6" width="19.13"/>
    <col customWidth="1" min="7" max="7" width="29.63"/>
    <col customWidth="1" min="9" max="9" width="17.0"/>
    <col customWidth="1" min="14" max="14" width="22.63"/>
  </cols>
  <sheetData>
    <row r="1">
      <c r="A1" s="141" t="s">
        <v>602</v>
      </c>
      <c r="B1" s="142" t="s">
        <v>603</v>
      </c>
      <c r="C1" s="143">
        <f>'Input 1'!B2</f>
        <v>360000</v>
      </c>
      <c r="D1" s="53"/>
      <c r="E1" s="53"/>
      <c r="F1" s="53"/>
      <c r="G1" s="141" t="s">
        <v>601</v>
      </c>
      <c r="H1" s="142" t="s">
        <v>603</v>
      </c>
      <c r="I1" s="143">
        <f>'Input 1'!B3</f>
        <v>900000</v>
      </c>
    </row>
    <row r="2">
      <c r="B2" s="144" t="s">
        <v>584</v>
      </c>
      <c r="C2" s="145">
        <f>'Input 1'!C2</f>
        <v>190381</v>
      </c>
      <c r="D2" s="53"/>
      <c r="E2" s="53"/>
      <c r="F2" s="53"/>
      <c r="H2" s="144" t="s">
        <v>584</v>
      </c>
      <c r="I2" s="145">
        <f>'Input 1'!C3</f>
        <v>208254</v>
      </c>
    </row>
    <row r="3">
      <c r="B3" s="144" t="s">
        <v>604</v>
      </c>
      <c r="C3" s="145">
        <f>'Input 1'!B2-'Input 1'!C2</f>
        <v>169619</v>
      </c>
      <c r="D3" s="53"/>
      <c r="E3" s="53"/>
      <c r="F3" s="53"/>
      <c r="H3" s="144" t="s">
        <v>604</v>
      </c>
      <c r="I3" s="145">
        <f>'Input 1'!B3-'Input 1'!C3</f>
        <v>691746</v>
      </c>
    </row>
    <row r="4">
      <c r="B4" s="146" t="s">
        <v>605</v>
      </c>
      <c r="C4" s="147">
        <f>'Input 1'!D2</f>
        <v>9</v>
      </c>
      <c r="D4" s="53"/>
      <c r="E4" s="53"/>
      <c r="F4" s="53"/>
      <c r="H4" s="146" t="s">
        <v>605</v>
      </c>
      <c r="I4" s="147">
        <v>15.0</v>
      </c>
    </row>
    <row r="5">
      <c r="B5" s="148"/>
      <c r="C5" s="53"/>
      <c r="D5" s="53"/>
      <c r="E5" s="53"/>
      <c r="F5" s="53"/>
      <c r="H5" s="148"/>
      <c r="I5" s="53"/>
    </row>
    <row r="6">
      <c r="B6" s="142" t="s">
        <v>606</v>
      </c>
      <c r="C6" s="149" t="s">
        <v>8</v>
      </c>
      <c r="D6" s="149" t="s">
        <v>607</v>
      </c>
      <c r="E6" s="150" t="s">
        <v>608</v>
      </c>
      <c r="F6" s="151"/>
      <c r="H6" s="142" t="s">
        <v>606</v>
      </c>
      <c r="I6" s="149" t="s">
        <v>8</v>
      </c>
      <c r="J6" s="149" t="s">
        <v>607</v>
      </c>
      <c r="K6" s="150" t="s">
        <v>608</v>
      </c>
    </row>
    <row r="7">
      <c r="B7" s="144" t="s">
        <v>609</v>
      </c>
      <c r="C7" s="53">
        <f>'Input 1'!F2</f>
        <v>6</v>
      </c>
      <c r="D7" s="53">
        <f>'Input 1'!E2</f>
        <v>8</v>
      </c>
      <c r="E7" s="145">
        <f>'Input 1'!G2</f>
        <v>2</v>
      </c>
      <c r="F7" s="53"/>
      <c r="H7" s="144" t="s">
        <v>609</v>
      </c>
      <c r="I7" s="53">
        <f>'Input 1'!F3</f>
        <v>4</v>
      </c>
      <c r="J7" s="53">
        <f>'Input 1'!E3</f>
        <v>8</v>
      </c>
      <c r="K7" s="145">
        <f>'Input 1'!G3</f>
        <v>4</v>
      </c>
    </row>
    <row r="8">
      <c r="B8" s="146" t="s">
        <v>2</v>
      </c>
      <c r="C8" s="152">
        <f>'Input 1'!I2</f>
        <v>10</v>
      </c>
      <c r="D8" s="152">
        <f>'Input 1'!H2</f>
        <v>16</v>
      </c>
      <c r="E8" s="153">
        <f>'Input 1'!J2</f>
        <v>6</v>
      </c>
      <c r="F8" s="53"/>
      <c r="H8" s="146" t="s">
        <v>2</v>
      </c>
      <c r="I8" s="152">
        <f>'Input 1'!I3</f>
        <v>12</v>
      </c>
      <c r="J8" s="152">
        <f>'Input 1'!H3</f>
        <v>24</v>
      </c>
      <c r="K8" s="153">
        <f>'Input 1'!J3</f>
        <v>12</v>
      </c>
    </row>
    <row r="9">
      <c r="B9" s="148"/>
      <c r="C9" s="53"/>
      <c r="D9" s="53"/>
      <c r="E9" s="53"/>
      <c r="F9" s="53"/>
      <c r="H9" s="148"/>
      <c r="I9" s="53"/>
    </row>
    <row r="10">
      <c r="B10" s="142" t="s">
        <v>626</v>
      </c>
      <c r="C10" s="143">
        <f>'Input 1'!C2 +('Input 1'!G2*'Input 1'!T2) + ('Input 1'!J2*'Input 1'!U2)
</f>
        <v>257872.2857</v>
      </c>
      <c r="D10" s="53"/>
      <c r="E10" s="53"/>
      <c r="F10" s="53"/>
      <c r="H10" s="142" t="s">
        <v>626</v>
      </c>
      <c r="I10" s="143">
        <f>'Input 1'!C3 +('Input 1'!G3*'Input 1'!T3) + ('Input 1'!J3*'Input 1'!U3)
</f>
        <v>327245</v>
      </c>
    </row>
    <row r="11">
      <c r="B11" s="144" t="s">
        <v>611</v>
      </c>
      <c r="C11" s="145">
        <f>'Input 1'!B2 - C10
</f>
        <v>102127.7143</v>
      </c>
      <c r="D11" s="53"/>
      <c r="E11" s="53"/>
      <c r="F11" s="53"/>
      <c r="H11" s="144" t="s">
        <v>611</v>
      </c>
      <c r="I11" s="145">
        <f>'Input 1'!B3 - I10
</f>
        <v>572755</v>
      </c>
    </row>
    <row r="12">
      <c r="B12" s="144" t="s">
        <v>612</v>
      </c>
      <c r="C12" s="145">
        <f>IF(('Input 1'!B2 - ('Input 1'!C2 + ('Input 1'!G2 * 'Input 1'!T2) + ('Input 1'!J2 * 'Input 1'!U2))) &gt; 0,
  ('Input 1'!B2 - ('Input 1'!C2 + ('Input 1'!G2 * 'Input 1'!T2) + ('Input 1'!J2 * 'Input 1'!U2))) * ('Input 1'!R2 / ('Input 1'!R2 + 'Input 1'!S2)),
  0)</f>
        <v>87647.07443</v>
      </c>
      <c r="D12" s="53"/>
      <c r="E12" s="53"/>
      <c r="F12" s="53"/>
      <c r="H12" s="144" t="s">
        <v>612</v>
      </c>
      <c r="I12" s="145">
        <f>IF(('Input 1'!B3 - ('Input 1'!C3 + ('Input 1'!G3 * 'Input 1'!T3) + ('Input 1'!J3 * 'Input 1'!U3))) &gt; 0,
  ('Input 1'!B3 - ('Input 1'!C3 + ('Input 1'!G3 * 'Input 1'!T3) + ('Input 1'!J3 * 'Input 1'!U3))) * ('Input 1'!R3 / ('Input 1'!R3 + 'Input 1'!S3)),
  0)</f>
        <v>104278.175</v>
      </c>
    </row>
    <row r="13">
      <c r="B13" s="144" t="s">
        <v>613</v>
      </c>
      <c r="C13" s="145">
        <f>IF(('Input 1'!B2 - ('Input 1'!C2 + ('Input 1'!G2 * 'Input 1'!T2) + ('Input 1'!J2 * 'Input 1'!U2))) &gt; 0,
  ('Input 1'!B2 - ('Input 1'!C2 + ('Input 1'!G2 * 'Input 1'!T2) + ('Input 1'!J2 * 'Input 1'!U2))) * ('Input 1'!S2 / ('Input 1'!R2 + 'Input 1'!S2)),
  0)</f>
        <v>14480.63986</v>
      </c>
      <c r="D13" s="53"/>
      <c r="E13" s="53"/>
      <c r="F13" s="53"/>
      <c r="H13" s="144" t="s">
        <v>613</v>
      </c>
      <c r="I13" s="145">
        <f>IF(('Input 1'!B3 - ('Input 1'!C3 + ('Input 1'!G3 * 'Input 1'!T3) + ('Input 1'!J3 * 'Input 1'!U3))) &gt; 0,
  ('Input 1'!B3 - ('Input 1'!C3 + ('Input 1'!G3 * 'Input 1'!T3) + ('Input 1'!J3 * 'Input 1'!U3))) * ('Input 1'!S3 / ('Input 1'!R3 + 'Input 1'!S3)),
  0)</f>
        <v>468476.825</v>
      </c>
    </row>
    <row r="14">
      <c r="B14" s="144" t="s">
        <v>614</v>
      </c>
      <c r="C14" s="154">
        <f>IF('Input 1'!G2 &gt; 0,
  'Input 1'!T2 + (C12 / 'Input 1'!G2),
  0)</f>
        <v>70121.03721</v>
      </c>
      <c r="D14" s="53"/>
      <c r="E14" s="53"/>
      <c r="F14" s="53"/>
      <c r="H14" s="144" t="s">
        <v>614</v>
      </c>
      <c r="I14" s="145">
        <f>IF('Input 1'!G3 &gt; 0,
  'Input 1'!T3 + (I12 / 'Input 1'!G3),
  0)</f>
        <v>31485.54375</v>
      </c>
    </row>
    <row r="15">
      <c r="B15" s="144" t="s">
        <v>615</v>
      </c>
      <c r="C15" s="145">
        <f>IF('Input 1'!J2 &gt; 0,
  'Input 1'!U2 + (C13 / 'Input 1'!J2),
  0)</f>
        <v>4896.154262</v>
      </c>
      <c r="D15" s="53"/>
      <c r="E15" s="53"/>
      <c r="F15" s="53"/>
      <c r="H15" s="144" t="s">
        <v>615</v>
      </c>
      <c r="I15" s="145">
        <f>IF('Input 1'!J3 &gt; 0,
  'Input 1'!U3 + (I13 / 'Input 1'!J3),
  0)</f>
        <v>47150.31875</v>
      </c>
    </row>
    <row r="16">
      <c r="B16" s="146" t="s">
        <v>616</v>
      </c>
      <c r="C16" s="153" t="str">
        <f>TEXT('Input 1'!C2 / 'Input 1'!B2, "0.0%")
</f>
        <v>52.9%</v>
      </c>
      <c r="D16" s="53"/>
      <c r="E16" s="53"/>
      <c r="F16" s="53"/>
      <c r="H16" s="146" t="s">
        <v>616</v>
      </c>
      <c r="I16" s="153" t="str">
        <f>TEXT('Input 1'!C3 / 'Input 1'!B3, "0.0%")
</f>
        <v>23.1%</v>
      </c>
    </row>
    <row r="17">
      <c r="A17" s="140"/>
      <c r="B17" s="140"/>
      <c r="C17" s="53"/>
      <c r="D17" s="53"/>
      <c r="E17" s="53"/>
      <c r="F17" s="53"/>
    </row>
    <row r="18">
      <c r="A18" s="148"/>
      <c r="B18" s="148"/>
      <c r="C18" s="53"/>
      <c r="D18" s="53"/>
      <c r="E18" s="53"/>
      <c r="F18" s="53"/>
    </row>
    <row r="19">
      <c r="A19" s="148"/>
      <c r="B19" s="148"/>
      <c r="C19" s="53"/>
      <c r="D19" s="53"/>
      <c r="E19" s="53"/>
      <c r="F19" s="53"/>
    </row>
    <row r="20">
      <c r="A20" s="148"/>
      <c r="B20" s="148"/>
      <c r="C20" s="53"/>
      <c r="D20" s="53"/>
      <c r="E20" s="53"/>
      <c r="F20" s="53"/>
    </row>
    <row r="21">
      <c r="A21" s="148"/>
      <c r="B21" s="148"/>
      <c r="C21" s="53"/>
      <c r="D21" s="53"/>
      <c r="E21" s="53"/>
      <c r="F21" s="53"/>
    </row>
    <row r="22">
      <c r="A22" s="148"/>
      <c r="B22" s="148"/>
      <c r="C22" s="53"/>
      <c r="D22" s="53"/>
      <c r="E22" s="53"/>
      <c r="F22" s="53"/>
    </row>
    <row r="23">
      <c r="A23" s="148"/>
      <c r="B23" s="148"/>
      <c r="C23" s="53"/>
      <c r="D23" s="53"/>
      <c r="E23" s="53"/>
      <c r="F23" s="53"/>
    </row>
    <row r="24">
      <c r="A24" s="148"/>
      <c r="B24" s="148"/>
      <c r="C24" s="53"/>
      <c r="D24" s="53"/>
      <c r="E24" s="53"/>
      <c r="F24" s="53"/>
    </row>
    <row r="25">
      <c r="A25" s="148"/>
      <c r="B25" s="148"/>
      <c r="C25" s="53"/>
      <c r="D25" s="53"/>
      <c r="E25" s="53"/>
      <c r="F25" s="53"/>
    </row>
    <row r="26">
      <c r="A26" s="148"/>
      <c r="B26" s="148"/>
      <c r="C26" s="53"/>
      <c r="D26" s="53"/>
      <c r="E26" s="53"/>
      <c r="F26" s="53"/>
    </row>
    <row r="27">
      <c r="A27" s="148"/>
      <c r="B27" s="148"/>
      <c r="C27" s="53"/>
      <c r="D27" s="53"/>
      <c r="E27" s="53"/>
      <c r="F27" s="53"/>
    </row>
    <row r="28">
      <c r="A28" s="148"/>
      <c r="B28" s="148"/>
      <c r="C28" s="53"/>
      <c r="D28" s="53"/>
      <c r="E28" s="53"/>
      <c r="F28" s="53"/>
    </row>
    <row r="29">
      <c r="A29" s="148"/>
      <c r="B29" s="148"/>
      <c r="C29" s="53"/>
      <c r="D29" s="53"/>
      <c r="E29" s="53"/>
      <c r="F29" s="53"/>
    </row>
    <row r="30">
      <c r="A30" s="148"/>
      <c r="B30" s="148"/>
      <c r="C30" s="53"/>
      <c r="D30" s="53"/>
      <c r="E30" s="53"/>
      <c r="F30" s="53"/>
    </row>
    <row r="31">
      <c r="A31" s="148"/>
      <c r="B31" s="148"/>
      <c r="C31" s="53"/>
      <c r="D31" s="53"/>
      <c r="E31" s="53"/>
      <c r="F31" s="53"/>
    </row>
    <row r="32">
      <c r="A32" s="148"/>
      <c r="B32" s="148"/>
      <c r="C32" s="53"/>
      <c r="D32" s="53"/>
      <c r="E32" s="53"/>
      <c r="F32" s="53"/>
    </row>
    <row r="33">
      <c r="A33" s="148"/>
      <c r="B33" s="148"/>
      <c r="C33" s="53"/>
      <c r="D33" s="53"/>
      <c r="E33" s="53"/>
      <c r="F33" s="53"/>
    </row>
    <row r="34">
      <c r="A34" s="148"/>
      <c r="B34" s="148"/>
      <c r="C34" s="53"/>
      <c r="D34" s="53"/>
      <c r="E34" s="53"/>
      <c r="F34" s="53"/>
    </row>
    <row r="35">
      <c r="A35" s="148"/>
      <c r="B35" s="148"/>
      <c r="C35" s="53"/>
      <c r="D35" s="53"/>
      <c r="E35" s="53"/>
      <c r="F35" s="53"/>
    </row>
    <row r="36">
      <c r="A36" s="148"/>
      <c r="B36" s="148"/>
      <c r="C36" s="53"/>
      <c r="D36" s="53"/>
      <c r="E36" s="53"/>
      <c r="F36" s="53"/>
    </row>
    <row r="37">
      <c r="A37" s="148"/>
      <c r="B37" s="148"/>
      <c r="C37" s="53"/>
      <c r="D37" s="53"/>
      <c r="E37" s="53"/>
      <c r="F37" s="53"/>
    </row>
    <row r="38">
      <c r="A38" s="148"/>
      <c r="B38" s="148"/>
      <c r="C38" s="53"/>
      <c r="D38" s="53"/>
      <c r="E38" s="53"/>
      <c r="F38" s="53"/>
    </row>
    <row r="39">
      <c r="A39" s="148"/>
      <c r="B39" s="148"/>
      <c r="C39" s="53"/>
      <c r="D39" s="53"/>
      <c r="E39" s="53"/>
      <c r="F39" s="53"/>
    </row>
    <row r="40">
      <c r="A40" s="148"/>
      <c r="B40" s="148"/>
      <c r="C40" s="53"/>
      <c r="D40" s="53"/>
      <c r="E40" s="53"/>
      <c r="F40" s="53"/>
    </row>
    <row r="41">
      <c r="A41" s="148"/>
      <c r="B41" s="148"/>
      <c r="C41" s="53"/>
      <c r="D41" s="53"/>
      <c r="E41" s="53"/>
      <c r="F41" s="53"/>
    </row>
    <row r="42">
      <c r="A42" s="148"/>
      <c r="B42" s="148"/>
      <c r="C42" s="53"/>
      <c r="D42" s="53"/>
      <c r="E42" s="53"/>
      <c r="F42" s="53"/>
    </row>
    <row r="43">
      <c r="A43" s="148"/>
      <c r="B43" s="148"/>
      <c r="C43" s="53"/>
      <c r="D43" s="53"/>
      <c r="E43" s="53"/>
      <c r="F43" s="53"/>
    </row>
    <row r="44">
      <c r="A44" s="148"/>
      <c r="B44" s="148"/>
      <c r="C44" s="53"/>
      <c r="D44" s="53"/>
      <c r="E44" s="53"/>
      <c r="F44" s="53"/>
    </row>
    <row r="45">
      <c r="A45" s="148"/>
      <c r="B45" s="148"/>
      <c r="C45" s="53"/>
      <c r="D45" s="53"/>
      <c r="E45" s="53"/>
      <c r="F45" s="53"/>
    </row>
    <row r="46">
      <c r="A46" s="148"/>
      <c r="B46" s="148"/>
      <c r="C46" s="53"/>
      <c r="D46" s="53"/>
      <c r="E46" s="53"/>
      <c r="F46" s="53"/>
    </row>
    <row r="47">
      <c r="A47" s="148"/>
      <c r="B47" s="148"/>
      <c r="C47" s="53"/>
      <c r="D47" s="53"/>
      <c r="E47" s="53"/>
      <c r="F47" s="53"/>
    </row>
    <row r="48">
      <c r="A48" s="148"/>
      <c r="B48" s="148"/>
      <c r="C48" s="53"/>
      <c r="D48" s="53"/>
      <c r="E48" s="53"/>
      <c r="F48" s="53"/>
    </row>
    <row r="49">
      <c r="A49" s="148"/>
      <c r="B49" s="148"/>
      <c r="C49" s="53"/>
      <c r="D49" s="53"/>
      <c r="E49" s="53"/>
      <c r="F49" s="53"/>
    </row>
    <row r="50">
      <c r="A50" s="148"/>
      <c r="B50" s="148"/>
      <c r="C50" s="53"/>
      <c r="D50" s="53"/>
      <c r="E50" s="53"/>
      <c r="F50" s="53"/>
    </row>
    <row r="51">
      <c r="A51" s="148"/>
      <c r="B51" s="148"/>
      <c r="C51" s="53"/>
      <c r="D51" s="53"/>
      <c r="E51" s="53"/>
      <c r="F51" s="53"/>
    </row>
    <row r="52">
      <c r="A52" s="148"/>
      <c r="B52" s="148"/>
      <c r="C52" s="53"/>
      <c r="D52" s="53"/>
      <c r="E52" s="53"/>
      <c r="F52" s="53"/>
    </row>
    <row r="53">
      <c r="A53" s="148"/>
      <c r="B53" s="148"/>
      <c r="C53" s="53"/>
      <c r="D53" s="53"/>
      <c r="E53" s="53"/>
      <c r="F53" s="53"/>
    </row>
    <row r="54">
      <c r="A54" s="148"/>
      <c r="B54" s="148"/>
      <c r="C54" s="53"/>
      <c r="D54" s="53"/>
      <c r="E54" s="53"/>
      <c r="F54" s="53"/>
    </row>
    <row r="55">
      <c r="A55" s="148"/>
      <c r="B55" s="148"/>
      <c r="C55" s="53"/>
      <c r="D55" s="53"/>
      <c r="E55" s="53"/>
      <c r="F55" s="53"/>
    </row>
    <row r="56">
      <c r="A56" s="148"/>
      <c r="B56" s="148"/>
      <c r="C56" s="53"/>
      <c r="D56" s="53"/>
      <c r="E56" s="53"/>
      <c r="F56" s="53"/>
    </row>
    <row r="57">
      <c r="A57" s="148"/>
      <c r="B57" s="148"/>
      <c r="C57" s="53"/>
      <c r="D57" s="53"/>
      <c r="E57" s="53"/>
      <c r="F57" s="53"/>
    </row>
    <row r="58">
      <c r="A58" s="148"/>
      <c r="B58" s="148"/>
      <c r="C58" s="53"/>
      <c r="D58" s="53"/>
      <c r="E58" s="53"/>
      <c r="F58" s="53"/>
    </row>
    <row r="59">
      <c r="A59" s="148"/>
      <c r="B59" s="148"/>
      <c r="C59" s="53"/>
      <c r="D59" s="53"/>
      <c r="E59" s="53"/>
      <c r="F59" s="53"/>
    </row>
    <row r="60">
      <c r="A60" s="148"/>
      <c r="B60" s="148"/>
      <c r="C60" s="53"/>
      <c r="D60" s="53"/>
      <c r="E60" s="53"/>
      <c r="F60" s="53"/>
    </row>
    <row r="61">
      <c r="A61" s="148"/>
      <c r="B61" s="148"/>
      <c r="C61" s="53"/>
      <c r="D61" s="53"/>
      <c r="E61" s="53"/>
      <c r="F61" s="53"/>
    </row>
    <row r="62">
      <c r="A62" s="148"/>
      <c r="B62" s="148"/>
      <c r="C62" s="53"/>
      <c r="D62" s="53"/>
      <c r="E62" s="53"/>
      <c r="F62" s="53"/>
    </row>
    <row r="63">
      <c r="A63" s="148"/>
      <c r="B63" s="148"/>
      <c r="C63" s="53"/>
      <c r="D63" s="53"/>
      <c r="E63" s="53"/>
      <c r="F63" s="53"/>
    </row>
    <row r="64">
      <c r="A64" s="148"/>
      <c r="B64" s="148"/>
      <c r="C64" s="53"/>
      <c r="D64" s="53"/>
      <c r="E64" s="53"/>
      <c r="F64" s="53"/>
    </row>
    <row r="65">
      <c r="A65" s="148"/>
      <c r="B65" s="148"/>
      <c r="C65" s="53"/>
      <c r="D65" s="53"/>
      <c r="E65" s="53"/>
      <c r="F65" s="53"/>
    </row>
    <row r="66">
      <c r="A66" s="148"/>
      <c r="B66" s="148"/>
      <c r="C66" s="53"/>
      <c r="D66" s="53"/>
      <c r="E66" s="53"/>
      <c r="F66" s="53"/>
    </row>
    <row r="67">
      <c r="A67" s="148"/>
      <c r="B67" s="148"/>
      <c r="C67" s="53"/>
      <c r="D67" s="53"/>
      <c r="E67" s="53"/>
      <c r="F67" s="53"/>
    </row>
    <row r="68">
      <c r="A68" s="148"/>
      <c r="B68" s="148"/>
      <c r="C68" s="53"/>
      <c r="D68" s="53"/>
      <c r="E68" s="53"/>
      <c r="F68" s="53"/>
    </row>
    <row r="69">
      <c r="A69" s="148"/>
      <c r="B69" s="148"/>
      <c r="C69" s="53"/>
      <c r="D69" s="53"/>
      <c r="E69" s="53"/>
      <c r="F69" s="53"/>
    </row>
    <row r="70">
      <c r="A70" s="148"/>
      <c r="B70" s="148"/>
      <c r="C70" s="53"/>
      <c r="D70" s="53"/>
      <c r="E70" s="53"/>
      <c r="F70" s="53"/>
    </row>
    <row r="71">
      <c r="A71" s="148"/>
      <c r="B71" s="148"/>
      <c r="C71" s="53"/>
      <c r="D71" s="53"/>
      <c r="E71" s="53"/>
      <c r="F71" s="53"/>
    </row>
    <row r="72">
      <c r="A72" s="148"/>
      <c r="B72" s="148"/>
      <c r="C72" s="53"/>
      <c r="D72" s="53"/>
      <c r="E72" s="53"/>
      <c r="F72" s="53"/>
    </row>
    <row r="73">
      <c r="A73" s="148"/>
      <c r="B73" s="148"/>
      <c r="C73" s="53"/>
      <c r="D73" s="53"/>
      <c r="E73" s="53"/>
      <c r="F73" s="53"/>
    </row>
    <row r="74">
      <c r="A74" s="148"/>
      <c r="B74" s="148"/>
      <c r="C74" s="53"/>
      <c r="D74" s="53"/>
      <c r="E74" s="53"/>
      <c r="F74" s="53"/>
    </row>
    <row r="75">
      <c r="A75" s="148"/>
      <c r="B75" s="148"/>
      <c r="C75" s="53"/>
      <c r="D75" s="53"/>
      <c r="E75" s="53"/>
      <c r="F75" s="53"/>
    </row>
    <row r="76">
      <c r="A76" s="148"/>
      <c r="B76" s="148"/>
      <c r="C76" s="53"/>
      <c r="D76" s="53"/>
      <c r="E76" s="53"/>
      <c r="F76" s="53"/>
    </row>
    <row r="77">
      <c r="A77" s="148"/>
      <c r="B77" s="148"/>
      <c r="C77" s="53"/>
      <c r="D77" s="53"/>
      <c r="E77" s="53"/>
      <c r="F77" s="53"/>
    </row>
    <row r="78">
      <c r="A78" s="148"/>
      <c r="B78" s="148"/>
      <c r="C78" s="53"/>
      <c r="D78" s="53"/>
      <c r="E78" s="53"/>
      <c r="F78" s="53"/>
    </row>
    <row r="79">
      <c r="A79" s="148"/>
      <c r="B79" s="148"/>
      <c r="C79" s="53"/>
      <c r="D79" s="53"/>
      <c r="E79" s="53"/>
      <c r="F79" s="53"/>
    </row>
    <row r="80">
      <c r="A80" s="148"/>
      <c r="B80" s="148"/>
      <c r="C80" s="53"/>
      <c r="D80" s="53"/>
      <c r="E80" s="53"/>
      <c r="F80" s="53"/>
    </row>
    <row r="81">
      <c r="A81" s="148"/>
      <c r="B81" s="148"/>
      <c r="C81" s="53"/>
      <c r="D81" s="53"/>
      <c r="E81" s="53"/>
      <c r="F81" s="53"/>
    </row>
    <row r="82">
      <c r="A82" s="148"/>
      <c r="B82" s="148"/>
      <c r="C82" s="53"/>
      <c r="D82" s="53"/>
      <c r="E82" s="53"/>
      <c r="F82" s="53"/>
    </row>
    <row r="83">
      <c r="A83" s="148"/>
      <c r="B83" s="148"/>
      <c r="C83" s="53"/>
      <c r="D83" s="53"/>
      <c r="E83" s="53"/>
      <c r="F83" s="53"/>
    </row>
    <row r="84">
      <c r="A84" s="148"/>
      <c r="B84" s="148"/>
      <c r="C84" s="53"/>
      <c r="D84" s="53"/>
      <c r="E84" s="53"/>
      <c r="F84" s="53"/>
    </row>
    <row r="85">
      <c r="A85" s="148"/>
      <c r="B85" s="148"/>
      <c r="C85" s="53"/>
      <c r="D85" s="53"/>
      <c r="E85" s="53"/>
      <c r="F85" s="53"/>
    </row>
    <row r="86">
      <c r="A86" s="148"/>
      <c r="B86" s="148"/>
      <c r="C86" s="53"/>
      <c r="D86" s="53"/>
      <c r="E86" s="53"/>
      <c r="F86" s="53"/>
    </row>
    <row r="87">
      <c r="A87" s="148"/>
      <c r="B87" s="148"/>
      <c r="C87" s="53"/>
      <c r="D87" s="53"/>
      <c r="E87" s="53"/>
      <c r="F87" s="53"/>
    </row>
    <row r="88">
      <c r="A88" s="148"/>
      <c r="B88" s="148"/>
      <c r="C88" s="53"/>
      <c r="D88" s="53"/>
      <c r="E88" s="53"/>
      <c r="F88" s="53"/>
    </row>
    <row r="89">
      <c r="A89" s="148"/>
      <c r="B89" s="148"/>
      <c r="C89" s="53"/>
      <c r="D89" s="53"/>
      <c r="E89" s="53"/>
      <c r="F89" s="53"/>
    </row>
    <row r="90">
      <c r="A90" s="148"/>
      <c r="B90" s="148"/>
      <c r="C90" s="53"/>
      <c r="D90" s="53"/>
      <c r="E90" s="53"/>
      <c r="F90" s="53"/>
    </row>
    <row r="91">
      <c r="A91" s="148"/>
      <c r="B91" s="148"/>
      <c r="C91" s="53"/>
      <c r="D91" s="53"/>
      <c r="E91" s="53"/>
      <c r="F91" s="53"/>
    </row>
    <row r="92">
      <c r="A92" s="148"/>
      <c r="B92" s="148"/>
      <c r="C92" s="53"/>
      <c r="D92" s="53"/>
      <c r="E92" s="53"/>
      <c r="F92" s="53"/>
    </row>
    <row r="93">
      <c r="A93" s="148"/>
      <c r="B93" s="148"/>
      <c r="C93" s="53"/>
      <c r="D93" s="53"/>
      <c r="E93" s="53"/>
      <c r="F93" s="53"/>
    </row>
    <row r="94">
      <c r="A94" s="148"/>
      <c r="B94" s="148"/>
      <c r="C94" s="53"/>
      <c r="D94" s="53"/>
      <c r="E94" s="53"/>
      <c r="F94" s="53"/>
    </row>
    <row r="95">
      <c r="A95" s="148"/>
      <c r="B95" s="148"/>
      <c r="C95" s="53"/>
      <c r="D95" s="53"/>
      <c r="E95" s="53"/>
      <c r="F95" s="53"/>
    </row>
    <row r="96">
      <c r="A96" s="148"/>
      <c r="B96" s="148"/>
      <c r="C96" s="53"/>
      <c r="D96" s="53"/>
      <c r="E96" s="53"/>
      <c r="F96" s="53"/>
    </row>
    <row r="97">
      <c r="A97" s="148"/>
      <c r="B97" s="148"/>
      <c r="C97" s="53"/>
      <c r="D97" s="53"/>
      <c r="E97" s="53"/>
      <c r="F97" s="53"/>
    </row>
    <row r="98">
      <c r="A98" s="148"/>
      <c r="B98" s="148"/>
      <c r="C98" s="53"/>
      <c r="D98" s="53"/>
      <c r="E98" s="53"/>
      <c r="F98" s="53"/>
    </row>
    <row r="99">
      <c r="A99" s="148"/>
      <c r="B99" s="148"/>
      <c r="C99" s="53"/>
      <c r="D99" s="53"/>
      <c r="E99" s="53"/>
      <c r="F99" s="53"/>
    </row>
    <row r="100">
      <c r="A100" s="148"/>
      <c r="B100" s="148"/>
      <c r="C100" s="53"/>
      <c r="D100" s="53"/>
      <c r="E100" s="53"/>
      <c r="F100" s="53"/>
    </row>
    <row r="101">
      <c r="A101" s="148"/>
      <c r="B101" s="148"/>
      <c r="C101" s="53"/>
      <c r="D101" s="53"/>
      <c r="E101" s="53"/>
      <c r="F101" s="53"/>
    </row>
    <row r="102">
      <c r="A102" s="148"/>
      <c r="B102" s="148"/>
      <c r="C102" s="53"/>
      <c r="D102" s="53"/>
      <c r="E102" s="53"/>
      <c r="F102" s="53"/>
    </row>
    <row r="103">
      <c r="A103" s="148"/>
      <c r="B103" s="148"/>
      <c r="C103" s="53"/>
      <c r="D103" s="53"/>
      <c r="E103" s="53"/>
      <c r="F103" s="53"/>
    </row>
    <row r="104">
      <c r="A104" s="148"/>
      <c r="B104" s="148"/>
      <c r="C104" s="53"/>
      <c r="D104" s="53"/>
      <c r="E104" s="53"/>
      <c r="F104" s="53"/>
    </row>
    <row r="105">
      <c r="A105" s="148"/>
      <c r="B105" s="148"/>
      <c r="C105" s="53"/>
      <c r="D105" s="53"/>
      <c r="E105" s="53"/>
      <c r="F105" s="53"/>
    </row>
    <row r="106">
      <c r="A106" s="148"/>
      <c r="B106" s="148"/>
      <c r="C106" s="53"/>
      <c r="D106" s="53"/>
      <c r="E106" s="53"/>
      <c r="F106" s="53"/>
    </row>
    <row r="107">
      <c r="A107" s="148"/>
      <c r="B107" s="148"/>
      <c r="C107" s="53"/>
      <c r="D107" s="53"/>
      <c r="E107" s="53"/>
      <c r="F107" s="53"/>
    </row>
    <row r="108">
      <c r="A108" s="148"/>
      <c r="B108" s="148"/>
      <c r="C108" s="53"/>
      <c r="D108" s="53"/>
      <c r="E108" s="53"/>
      <c r="F108" s="53"/>
    </row>
    <row r="109">
      <c r="A109" s="148"/>
      <c r="B109" s="148"/>
      <c r="C109" s="53"/>
      <c r="D109" s="53"/>
      <c r="E109" s="53"/>
      <c r="F109" s="53"/>
    </row>
    <row r="110">
      <c r="A110" s="148"/>
      <c r="B110" s="148"/>
      <c r="C110" s="53"/>
      <c r="D110" s="53"/>
      <c r="E110" s="53"/>
      <c r="F110" s="53"/>
    </row>
    <row r="111">
      <c r="A111" s="148"/>
      <c r="B111" s="148"/>
      <c r="C111" s="53"/>
      <c r="D111" s="53"/>
      <c r="E111" s="53"/>
      <c r="F111" s="53"/>
    </row>
    <row r="112">
      <c r="A112" s="148"/>
      <c r="B112" s="148"/>
      <c r="C112" s="53"/>
      <c r="D112" s="53"/>
      <c r="E112" s="53"/>
      <c r="F112" s="53"/>
    </row>
    <row r="113">
      <c r="A113" s="148"/>
      <c r="B113" s="148"/>
      <c r="C113" s="53"/>
      <c r="D113" s="53"/>
      <c r="E113" s="53"/>
      <c r="F113" s="53"/>
    </row>
    <row r="114">
      <c r="A114" s="148"/>
      <c r="B114" s="148"/>
      <c r="C114" s="53"/>
      <c r="D114" s="53"/>
      <c r="E114" s="53"/>
      <c r="F114" s="53"/>
    </row>
    <row r="115">
      <c r="A115" s="148"/>
      <c r="B115" s="148"/>
      <c r="C115" s="53"/>
      <c r="D115" s="53"/>
      <c r="E115" s="53"/>
      <c r="F115" s="53"/>
    </row>
    <row r="116">
      <c r="A116" s="148"/>
      <c r="B116" s="148"/>
      <c r="C116" s="53"/>
      <c r="D116" s="53"/>
      <c r="E116" s="53"/>
      <c r="F116" s="53"/>
    </row>
    <row r="117">
      <c r="A117" s="148"/>
      <c r="B117" s="148"/>
      <c r="C117" s="53"/>
      <c r="D117" s="53"/>
      <c r="E117" s="53"/>
      <c r="F117" s="53"/>
    </row>
    <row r="118">
      <c r="A118" s="148"/>
      <c r="B118" s="148"/>
      <c r="C118" s="53"/>
      <c r="D118" s="53"/>
      <c r="E118" s="53"/>
      <c r="F118" s="53"/>
    </row>
    <row r="119">
      <c r="A119" s="148"/>
      <c r="B119" s="148"/>
      <c r="C119" s="53"/>
      <c r="D119" s="53"/>
      <c r="E119" s="53"/>
      <c r="F119" s="53"/>
    </row>
    <row r="120">
      <c r="A120" s="148"/>
      <c r="B120" s="148"/>
      <c r="C120" s="53"/>
      <c r="D120" s="53"/>
      <c r="E120" s="53"/>
      <c r="F120" s="53"/>
    </row>
    <row r="121">
      <c r="A121" s="148"/>
      <c r="B121" s="148"/>
      <c r="C121" s="53"/>
      <c r="D121" s="53"/>
      <c r="E121" s="53"/>
      <c r="F121" s="53"/>
    </row>
    <row r="122">
      <c r="A122" s="148"/>
      <c r="B122" s="148"/>
      <c r="C122" s="53"/>
      <c r="D122" s="53"/>
      <c r="E122" s="53"/>
      <c r="F122" s="53"/>
    </row>
    <row r="123">
      <c r="A123" s="148"/>
      <c r="B123" s="148"/>
      <c r="C123" s="53"/>
      <c r="D123" s="53"/>
      <c r="E123" s="53"/>
      <c r="F123" s="53"/>
    </row>
    <row r="124">
      <c r="A124" s="148"/>
      <c r="B124" s="148"/>
      <c r="C124" s="53"/>
      <c r="D124" s="53"/>
      <c r="E124" s="53"/>
      <c r="F124" s="53"/>
    </row>
    <row r="125">
      <c r="A125" s="148"/>
      <c r="B125" s="148"/>
      <c r="C125" s="53"/>
      <c r="D125" s="53"/>
      <c r="E125" s="53"/>
      <c r="F125" s="53"/>
    </row>
    <row r="126">
      <c r="A126" s="148"/>
      <c r="B126" s="148"/>
      <c r="C126" s="53"/>
      <c r="D126" s="53"/>
      <c r="E126" s="53"/>
      <c r="F126" s="53"/>
    </row>
    <row r="127">
      <c r="A127" s="148"/>
      <c r="B127" s="148"/>
      <c r="C127" s="53"/>
      <c r="D127" s="53"/>
      <c r="E127" s="53"/>
      <c r="F127" s="53"/>
    </row>
    <row r="128">
      <c r="A128" s="148"/>
      <c r="B128" s="148"/>
      <c r="C128" s="53"/>
      <c r="D128" s="53"/>
      <c r="E128" s="53"/>
      <c r="F128" s="53"/>
    </row>
    <row r="129">
      <c r="A129" s="148"/>
      <c r="B129" s="148"/>
      <c r="C129" s="53"/>
      <c r="D129" s="53"/>
      <c r="E129" s="53"/>
      <c r="F129" s="53"/>
    </row>
    <row r="130">
      <c r="A130" s="148"/>
      <c r="B130" s="148"/>
      <c r="C130" s="53"/>
      <c r="D130" s="53"/>
      <c r="E130" s="53"/>
      <c r="F130" s="53"/>
    </row>
    <row r="131">
      <c r="A131" s="148"/>
      <c r="B131" s="148"/>
      <c r="C131" s="53"/>
      <c r="D131" s="53"/>
      <c r="E131" s="53"/>
      <c r="F131" s="53"/>
    </row>
    <row r="132">
      <c r="A132" s="148"/>
      <c r="B132" s="148"/>
      <c r="C132" s="53"/>
      <c r="D132" s="53"/>
      <c r="E132" s="53"/>
      <c r="F132" s="53"/>
    </row>
    <row r="133">
      <c r="A133" s="148"/>
      <c r="B133" s="148"/>
      <c r="C133" s="53"/>
      <c r="D133" s="53"/>
      <c r="E133" s="53"/>
      <c r="F133" s="53"/>
    </row>
    <row r="134">
      <c r="A134" s="148"/>
      <c r="B134" s="148"/>
      <c r="C134" s="53"/>
      <c r="D134" s="53"/>
      <c r="E134" s="53"/>
      <c r="F134" s="53"/>
    </row>
    <row r="135">
      <c r="A135" s="148"/>
      <c r="B135" s="148"/>
      <c r="C135" s="53"/>
      <c r="D135" s="53"/>
      <c r="E135" s="53"/>
      <c r="F135" s="53"/>
    </row>
    <row r="136">
      <c r="A136" s="148"/>
      <c r="B136" s="148"/>
      <c r="C136" s="53"/>
      <c r="D136" s="53"/>
      <c r="E136" s="53"/>
      <c r="F136" s="53"/>
    </row>
    <row r="137">
      <c r="A137" s="148"/>
      <c r="B137" s="148"/>
      <c r="C137" s="53"/>
      <c r="D137" s="53"/>
      <c r="E137" s="53"/>
      <c r="F137" s="53"/>
    </row>
    <row r="138">
      <c r="A138" s="148"/>
      <c r="B138" s="148"/>
      <c r="C138" s="53"/>
      <c r="D138" s="53"/>
      <c r="E138" s="53"/>
      <c r="F138" s="53"/>
    </row>
    <row r="139">
      <c r="A139" s="148"/>
      <c r="B139" s="148"/>
      <c r="C139" s="53"/>
      <c r="D139" s="53"/>
      <c r="E139" s="53"/>
      <c r="F139" s="53"/>
    </row>
    <row r="140">
      <c r="A140" s="148"/>
      <c r="B140" s="148"/>
      <c r="C140" s="53"/>
      <c r="D140" s="53"/>
      <c r="E140" s="53"/>
      <c r="F140" s="53"/>
    </row>
    <row r="141">
      <c r="A141" s="148"/>
      <c r="B141" s="148"/>
      <c r="C141" s="53"/>
      <c r="D141" s="53"/>
      <c r="E141" s="53"/>
      <c r="F141" s="53"/>
    </row>
    <row r="142">
      <c r="A142" s="148"/>
      <c r="B142" s="148"/>
      <c r="C142" s="53"/>
      <c r="D142" s="53"/>
      <c r="E142" s="53"/>
      <c r="F142" s="53"/>
    </row>
    <row r="143">
      <c r="A143" s="148"/>
      <c r="B143" s="148"/>
      <c r="C143" s="53"/>
      <c r="D143" s="53"/>
      <c r="E143" s="53"/>
      <c r="F143" s="53"/>
    </row>
    <row r="144">
      <c r="A144" s="148"/>
      <c r="B144" s="148"/>
      <c r="C144" s="53"/>
      <c r="D144" s="53"/>
      <c r="E144" s="53"/>
      <c r="F144" s="53"/>
    </row>
    <row r="145">
      <c r="A145" s="148"/>
      <c r="B145" s="148"/>
      <c r="C145" s="53"/>
      <c r="D145" s="53"/>
      <c r="E145" s="53"/>
      <c r="F145" s="53"/>
    </row>
    <row r="146">
      <c r="A146" s="148"/>
      <c r="B146" s="148"/>
      <c r="C146" s="53"/>
      <c r="D146" s="53"/>
      <c r="E146" s="53"/>
      <c r="F146" s="53"/>
    </row>
    <row r="147">
      <c r="A147" s="148"/>
      <c r="B147" s="148"/>
      <c r="C147" s="53"/>
      <c r="D147" s="53"/>
      <c r="E147" s="53"/>
      <c r="F147" s="53"/>
    </row>
    <row r="148">
      <c r="A148" s="148"/>
      <c r="B148" s="148"/>
      <c r="C148" s="53"/>
      <c r="D148" s="53"/>
      <c r="E148" s="53"/>
      <c r="F148" s="53"/>
    </row>
    <row r="149">
      <c r="A149" s="148"/>
      <c r="B149" s="148"/>
      <c r="C149" s="53"/>
      <c r="D149" s="53"/>
      <c r="E149" s="53"/>
      <c r="F149" s="53"/>
    </row>
    <row r="150">
      <c r="A150" s="148"/>
      <c r="B150" s="148"/>
      <c r="C150" s="53"/>
      <c r="D150" s="53"/>
      <c r="E150" s="53"/>
      <c r="F150" s="53"/>
    </row>
    <row r="151">
      <c r="A151" s="148"/>
      <c r="B151" s="148"/>
      <c r="C151" s="53"/>
      <c r="D151" s="53"/>
      <c r="E151" s="53"/>
      <c r="F151" s="53"/>
    </row>
    <row r="152">
      <c r="A152" s="148"/>
      <c r="B152" s="148"/>
      <c r="C152" s="53"/>
      <c r="D152" s="53"/>
      <c r="E152" s="53"/>
      <c r="F152" s="53"/>
    </row>
    <row r="153">
      <c r="A153" s="148"/>
      <c r="B153" s="148"/>
      <c r="C153" s="53"/>
      <c r="D153" s="53"/>
      <c r="E153" s="53"/>
      <c r="F153" s="53"/>
    </row>
    <row r="154">
      <c r="A154" s="148"/>
      <c r="B154" s="148"/>
      <c r="C154" s="53"/>
      <c r="D154" s="53"/>
      <c r="E154" s="53"/>
      <c r="F154" s="53"/>
    </row>
    <row r="155">
      <c r="A155" s="148"/>
      <c r="B155" s="148"/>
      <c r="C155" s="53"/>
      <c r="D155" s="53"/>
      <c r="E155" s="53"/>
      <c r="F155" s="53"/>
    </row>
    <row r="156">
      <c r="A156" s="148"/>
      <c r="B156" s="148"/>
      <c r="C156" s="53"/>
      <c r="D156" s="53"/>
      <c r="E156" s="53"/>
      <c r="F156" s="53"/>
    </row>
    <row r="157">
      <c r="A157" s="148"/>
      <c r="B157" s="148"/>
      <c r="C157" s="53"/>
      <c r="D157" s="53"/>
      <c r="E157" s="53"/>
      <c r="F157" s="53"/>
    </row>
    <row r="158">
      <c r="A158" s="148"/>
      <c r="B158" s="148"/>
      <c r="C158" s="53"/>
      <c r="D158" s="53"/>
      <c r="E158" s="53"/>
      <c r="F158" s="53"/>
    </row>
    <row r="159">
      <c r="A159" s="148"/>
      <c r="B159" s="148"/>
      <c r="C159" s="53"/>
      <c r="D159" s="53"/>
      <c r="E159" s="53"/>
      <c r="F159" s="53"/>
    </row>
    <row r="160">
      <c r="A160" s="148"/>
      <c r="B160" s="148"/>
      <c r="C160" s="53"/>
      <c r="D160" s="53"/>
      <c r="E160" s="53"/>
      <c r="F160" s="53"/>
    </row>
    <row r="161">
      <c r="A161" s="148"/>
      <c r="B161" s="148"/>
      <c r="C161" s="53"/>
      <c r="D161" s="53"/>
      <c r="E161" s="53"/>
      <c r="F161" s="53"/>
    </row>
    <row r="162">
      <c r="A162" s="148"/>
      <c r="B162" s="148"/>
      <c r="C162" s="53"/>
      <c r="D162" s="53"/>
      <c r="E162" s="53"/>
      <c r="F162" s="53"/>
    </row>
    <row r="163">
      <c r="A163" s="148"/>
      <c r="B163" s="148"/>
      <c r="C163" s="53"/>
      <c r="D163" s="53"/>
      <c r="E163" s="53"/>
      <c r="F163" s="53"/>
    </row>
    <row r="164">
      <c r="A164" s="148"/>
      <c r="B164" s="148"/>
      <c r="C164" s="53"/>
      <c r="D164" s="53"/>
      <c r="E164" s="53"/>
      <c r="F164" s="53"/>
    </row>
    <row r="165">
      <c r="A165" s="148"/>
      <c r="B165" s="148"/>
      <c r="C165" s="53"/>
      <c r="D165" s="53"/>
      <c r="E165" s="53"/>
      <c r="F165" s="53"/>
    </row>
    <row r="166">
      <c r="A166" s="148"/>
      <c r="B166" s="148"/>
      <c r="C166" s="53"/>
      <c r="D166" s="53"/>
      <c r="E166" s="53"/>
      <c r="F166" s="53"/>
    </row>
    <row r="167">
      <c r="A167" s="148"/>
      <c r="B167" s="148"/>
      <c r="C167" s="53"/>
      <c r="D167" s="53"/>
      <c r="E167" s="53"/>
      <c r="F167" s="53"/>
    </row>
    <row r="168">
      <c r="A168" s="148"/>
      <c r="B168" s="148"/>
      <c r="C168" s="53"/>
      <c r="D168" s="53"/>
      <c r="E168" s="53"/>
      <c r="F168" s="53"/>
    </row>
    <row r="169">
      <c r="A169" s="148"/>
      <c r="B169" s="148"/>
      <c r="C169" s="53"/>
      <c r="D169" s="53"/>
      <c r="E169" s="53"/>
      <c r="F169" s="53"/>
    </row>
    <row r="170">
      <c r="A170" s="148"/>
      <c r="B170" s="148"/>
      <c r="C170" s="53"/>
      <c r="D170" s="53"/>
      <c r="E170" s="53"/>
      <c r="F170" s="53"/>
    </row>
    <row r="171">
      <c r="A171" s="148"/>
      <c r="B171" s="148"/>
      <c r="C171" s="53"/>
      <c r="D171" s="53"/>
      <c r="E171" s="53"/>
      <c r="F171" s="53"/>
    </row>
    <row r="172">
      <c r="A172" s="148"/>
      <c r="B172" s="148"/>
      <c r="C172" s="53"/>
      <c r="D172" s="53"/>
      <c r="E172" s="53"/>
      <c r="F172" s="53"/>
    </row>
    <row r="173">
      <c r="A173" s="148"/>
      <c r="B173" s="148"/>
      <c r="C173" s="53"/>
      <c r="D173" s="53"/>
      <c r="E173" s="53"/>
      <c r="F173" s="53"/>
    </row>
    <row r="174">
      <c r="A174" s="148"/>
      <c r="B174" s="148"/>
      <c r="C174" s="53"/>
      <c r="D174" s="53"/>
      <c r="E174" s="53"/>
      <c r="F174" s="53"/>
    </row>
    <row r="175">
      <c r="A175" s="148"/>
      <c r="B175" s="148"/>
      <c r="C175" s="53"/>
      <c r="D175" s="53"/>
      <c r="E175" s="53"/>
      <c r="F175" s="53"/>
    </row>
    <row r="176">
      <c r="A176" s="148"/>
      <c r="B176" s="148"/>
      <c r="C176" s="53"/>
      <c r="D176" s="53"/>
      <c r="E176" s="53"/>
      <c r="F176" s="53"/>
    </row>
    <row r="177">
      <c r="A177" s="148"/>
      <c r="B177" s="148"/>
      <c r="C177" s="53"/>
      <c r="D177" s="53"/>
      <c r="E177" s="53"/>
      <c r="F177" s="53"/>
    </row>
    <row r="178">
      <c r="A178" s="148"/>
      <c r="B178" s="148"/>
      <c r="C178" s="53"/>
      <c r="D178" s="53"/>
      <c r="E178" s="53"/>
      <c r="F178" s="53"/>
    </row>
    <row r="179">
      <c r="A179" s="148"/>
      <c r="B179" s="148"/>
      <c r="C179" s="53"/>
      <c r="D179" s="53"/>
      <c r="E179" s="53"/>
      <c r="F179" s="53"/>
    </row>
    <row r="180">
      <c r="A180" s="148"/>
      <c r="B180" s="148"/>
      <c r="C180" s="53"/>
      <c r="D180" s="53"/>
      <c r="E180" s="53"/>
      <c r="F180" s="53"/>
    </row>
    <row r="181">
      <c r="A181" s="148"/>
      <c r="B181" s="148"/>
      <c r="C181" s="53"/>
      <c r="D181" s="53"/>
      <c r="E181" s="53"/>
      <c r="F181" s="53"/>
    </row>
    <row r="182">
      <c r="A182" s="148"/>
      <c r="B182" s="148"/>
      <c r="C182" s="53"/>
      <c r="D182" s="53"/>
      <c r="E182" s="53"/>
      <c r="F182" s="53"/>
    </row>
    <row r="183">
      <c r="A183" s="148"/>
      <c r="B183" s="148"/>
      <c r="C183" s="53"/>
      <c r="D183" s="53"/>
      <c r="E183" s="53"/>
      <c r="F183" s="53"/>
    </row>
    <row r="184">
      <c r="A184" s="148"/>
      <c r="B184" s="148"/>
      <c r="C184" s="53"/>
      <c r="D184" s="53"/>
      <c r="E184" s="53"/>
      <c r="F184" s="53"/>
    </row>
    <row r="185">
      <c r="A185" s="148"/>
      <c r="B185" s="148"/>
      <c r="C185" s="53"/>
      <c r="D185" s="53"/>
      <c r="E185" s="53"/>
      <c r="F185" s="53"/>
    </row>
    <row r="186">
      <c r="A186" s="148"/>
      <c r="B186" s="148"/>
      <c r="C186" s="53"/>
      <c r="D186" s="53"/>
      <c r="E186" s="53"/>
      <c r="F186" s="53"/>
    </row>
    <row r="187">
      <c r="A187" s="148"/>
      <c r="B187" s="148"/>
      <c r="C187" s="53"/>
      <c r="D187" s="53"/>
      <c r="E187" s="53"/>
      <c r="F187" s="53"/>
    </row>
    <row r="188">
      <c r="A188" s="148"/>
      <c r="B188" s="148"/>
      <c r="C188" s="53"/>
      <c r="D188" s="53"/>
      <c r="E188" s="53"/>
      <c r="F188" s="53"/>
    </row>
    <row r="189">
      <c r="A189" s="148"/>
      <c r="B189" s="148"/>
      <c r="C189" s="53"/>
      <c r="D189" s="53"/>
      <c r="E189" s="53"/>
      <c r="F189" s="53"/>
    </row>
    <row r="190">
      <c r="A190" s="148"/>
      <c r="B190" s="148"/>
      <c r="C190" s="53"/>
      <c r="D190" s="53"/>
      <c r="E190" s="53"/>
      <c r="F190" s="53"/>
    </row>
    <row r="191">
      <c r="A191" s="148"/>
      <c r="B191" s="148"/>
      <c r="C191" s="53"/>
      <c r="D191" s="53"/>
      <c r="E191" s="53"/>
      <c r="F191" s="53"/>
    </row>
    <row r="192">
      <c r="A192" s="148"/>
      <c r="B192" s="148"/>
      <c r="C192" s="53"/>
      <c r="D192" s="53"/>
      <c r="E192" s="53"/>
      <c r="F192" s="53"/>
    </row>
    <row r="193">
      <c r="A193" s="148"/>
      <c r="B193" s="148"/>
      <c r="C193" s="53"/>
      <c r="D193" s="53"/>
      <c r="E193" s="53"/>
      <c r="F193" s="53"/>
    </row>
    <row r="194">
      <c r="A194" s="148"/>
      <c r="B194" s="148"/>
      <c r="C194" s="53"/>
      <c r="D194" s="53"/>
      <c r="E194" s="53"/>
      <c r="F194" s="53"/>
    </row>
    <row r="195">
      <c r="A195" s="148"/>
      <c r="B195" s="148"/>
      <c r="C195" s="53"/>
      <c r="D195" s="53"/>
      <c r="E195" s="53"/>
      <c r="F195" s="53"/>
    </row>
    <row r="196">
      <c r="A196" s="148"/>
      <c r="B196" s="148"/>
      <c r="C196" s="53"/>
      <c r="D196" s="53"/>
      <c r="E196" s="53"/>
      <c r="F196" s="53"/>
    </row>
    <row r="197">
      <c r="A197" s="148"/>
      <c r="B197" s="148"/>
      <c r="C197" s="53"/>
      <c r="D197" s="53"/>
      <c r="E197" s="53"/>
      <c r="F197" s="53"/>
    </row>
    <row r="198">
      <c r="A198" s="148"/>
      <c r="B198" s="148"/>
      <c r="C198" s="53"/>
      <c r="D198" s="53"/>
      <c r="E198" s="53"/>
      <c r="F198" s="53"/>
    </row>
    <row r="199">
      <c r="A199" s="148"/>
      <c r="B199" s="148"/>
      <c r="C199" s="53"/>
      <c r="D199" s="53"/>
      <c r="E199" s="53"/>
      <c r="F199" s="53"/>
    </row>
    <row r="200">
      <c r="A200" s="148"/>
      <c r="B200" s="148"/>
      <c r="C200" s="53"/>
      <c r="D200" s="53"/>
      <c r="E200" s="53"/>
      <c r="F200" s="53"/>
    </row>
    <row r="201">
      <c r="A201" s="148"/>
      <c r="B201" s="148"/>
      <c r="C201" s="53"/>
      <c r="D201" s="53"/>
      <c r="E201" s="53"/>
      <c r="F201" s="53"/>
    </row>
    <row r="202">
      <c r="A202" s="148"/>
      <c r="B202" s="148"/>
      <c r="C202" s="53"/>
      <c r="D202" s="53"/>
      <c r="E202" s="53"/>
      <c r="F202" s="53"/>
    </row>
    <row r="203">
      <c r="A203" s="148"/>
      <c r="B203" s="148"/>
      <c r="C203" s="53"/>
      <c r="D203" s="53"/>
      <c r="E203" s="53"/>
      <c r="F203" s="53"/>
    </row>
    <row r="204">
      <c r="A204" s="148"/>
      <c r="B204" s="148"/>
      <c r="C204" s="53"/>
      <c r="D204" s="53"/>
      <c r="E204" s="53"/>
      <c r="F204" s="53"/>
    </row>
    <row r="205">
      <c r="A205" s="148"/>
      <c r="B205" s="148"/>
      <c r="C205" s="53"/>
      <c r="D205" s="53"/>
      <c r="E205" s="53"/>
      <c r="F205" s="53"/>
    </row>
    <row r="206">
      <c r="A206" s="148"/>
      <c r="B206" s="148"/>
      <c r="C206" s="53"/>
      <c r="D206" s="53"/>
      <c r="E206" s="53"/>
      <c r="F206" s="53"/>
    </row>
    <row r="207">
      <c r="A207" s="148"/>
      <c r="B207" s="148"/>
      <c r="C207" s="53"/>
      <c r="D207" s="53"/>
      <c r="E207" s="53"/>
      <c r="F207" s="53"/>
    </row>
    <row r="208">
      <c r="A208" s="148"/>
      <c r="B208" s="148"/>
      <c r="C208" s="53"/>
      <c r="D208" s="53"/>
      <c r="E208" s="53"/>
      <c r="F208" s="53"/>
    </row>
    <row r="209">
      <c r="A209" s="148"/>
      <c r="B209" s="148"/>
      <c r="C209" s="53"/>
      <c r="D209" s="53"/>
      <c r="E209" s="53"/>
      <c r="F209" s="53"/>
    </row>
    <row r="210">
      <c r="A210" s="148"/>
      <c r="B210" s="148"/>
      <c r="C210" s="53"/>
      <c r="D210" s="53"/>
      <c r="E210" s="53"/>
      <c r="F210" s="53"/>
    </row>
    <row r="211">
      <c r="A211" s="148"/>
      <c r="B211" s="148"/>
      <c r="C211" s="53"/>
      <c r="D211" s="53"/>
      <c r="E211" s="53"/>
      <c r="F211" s="53"/>
    </row>
    <row r="212">
      <c r="A212" s="148"/>
      <c r="B212" s="148"/>
      <c r="C212" s="53"/>
      <c r="D212" s="53"/>
      <c r="E212" s="53"/>
      <c r="F212" s="53"/>
    </row>
    <row r="213">
      <c r="A213" s="148"/>
      <c r="B213" s="148"/>
      <c r="C213" s="53"/>
      <c r="D213" s="53"/>
      <c r="E213" s="53"/>
      <c r="F213" s="53"/>
    </row>
    <row r="214">
      <c r="A214" s="148"/>
      <c r="B214" s="148"/>
      <c r="C214" s="53"/>
      <c r="D214" s="53"/>
      <c r="E214" s="53"/>
      <c r="F214" s="53"/>
    </row>
    <row r="215">
      <c r="A215" s="148"/>
      <c r="B215" s="148"/>
      <c r="C215" s="53"/>
      <c r="D215" s="53"/>
      <c r="E215" s="53"/>
      <c r="F215" s="53"/>
    </row>
    <row r="216">
      <c r="A216" s="148"/>
      <c r="B216" s="148"/>
      <c r="C216" s="53"/>
      <c r="D216" s="53"/>
      <c r="E216" s="53"/>
      <c r="F216" s="53"/>
    </row>
    <row r="217">
      <c r="A217" s="148"/>
      <c r="B217" s="148"/>
      <c r="C217" s="53"/>
      <c r="D217" s="53"/>
      <c r="E217" s="53"/>
      <c r="F217" s="53"/>
    </row>
    <row r="218">
      <c r="A218" s="148"/>
      <c r="B218" s="148"/>
      <c r="C218" s="53"/>
      <c r="D218" s="53"/>
      <c r="E218" s="53"/>
      <c r="F218" s="53"/>
    </row>
    <row r="219">
      <c r="A219" s="148"/>
      <c r="B219" s="148"/>
      <c r="C219" s="53"/>
      <c r="D219" s="53"/>
      <c r="E219" s="53"/>
      <c r="F219" s="53"/>
    </row>
    <row r="220">
      <c r="A220" s="148"/>
      <c r="B220" s="148"/>
      <c r="C220" s="53"/>
      <c r="D220" s="53"/>
      <c r="E220" s="53"/>
      <c r="F220" s="53"/>
    </row>
    <row r="221">
      <c r="A221" s="148"/>
      <c r="B221" s="148"/>
      <c r="C221" s="53"/>
      <c r="D221" s="53"/>
      <c r="E221" s="53"/>
      <c r="F221" s="53"/>
    </row>
    <row r="222">
      <c r="A222" s="148"/>
      <c r="B222" s="148"/>
      <c r="C222" s="53"/>
      <c r="D222" s="53"/>
      <c r="E222" s="53"/>
      <c r="F222" s="53"/>
    </row>
    <row r="223">
      <c r="A223" s="148"/>
      <c r="B223" s="148"/>
      <c r="C223" s="53"/>
      <c r="D223" s="53"/>
      <c r="E223" s="53"/>
      <c r="F223" s="53"/>
    </row>
    <row r="224">
      <c r="A224" s="148"/>
      <c r="B224" s="148"/>
      <c r="C224" s="53"/>
      <c r="D224" s="53"/>
      <c r="E224" s="53"/>
      <c r="F224" s="53"/>
    </row>
    <row r="225">
      <c r="A225" s="148"/>
      <c r="B225" s="148"/>
      <c r="C225" s="53"/>
      <c r="D225" s="53"/>
      <c r="E225" s="53"/>
      <c r="F225" s="53"/>
    </row>
    <row r="226">
      <c r="A226" s="148"/>
      <c r="B226" s="148"/>
      <c r="C226" s="53"/>
      <c r="D226" s="53"/>
      <c r="E226" s="53"/>
      <c r="F226" s="53"/>
    </row>
    <row r="227">
      <c r="A227" s="148"/>
      <c r="B227" s="148"/>
      <c r="C227" s="53"/>
      <c r="D227" s="53"/>
      <c r="E227" s="53"/>
      <c r="F227" s="53"/>
    </row>
    <row r="228">
      <c r="A228" s="148"/>
      <c r="B228" s="148"/>
      <c r="C228" s="53"/>
      <c r="D228" s="53"/>
      <c r="E228" s="53"/>
      <c r="F228" s="53"/>
    </row>
    <row r="229">
      <c r="A229" s="148"/>
      <c r="B229" s="148"/>
      <c r="C229" s="53"/>
      <c r="D229" s="53"/>
      <c r="E229" s="53"/>
      <c r="F229" s="53"/>
    </row>
    <row r="230">
      <c r="A230" s="148"/>
      <c r="B230" s="148"/>
      <c r="C230" s="53"/>
      <c r="D230" s="53"/>
      <c r="E230" s="53"/>
      <c r="F230" s="53"/>
    </row>
    <row r="231">
      <c r="A231" s="148"/>
      <c r="B231" s="148"/>
      <c r="C231" s="53"/>
      <c r="D231" s="53"/>
      <c r="E231" s="53"/>
      <c r="F231" s="53"/>
    </row>
    <row r="232">
      <c r="A232" s="148"/>
      <c r="B232" s="148"/>
      <c r="C232" s="53"/>
      <c r="D232" s="53"/>
      <c r="E232" s="53"/>
      <c r="F232" s="53"/>
    </row>
    <row r="233">
      <c r="A233" s="148"/>
      <c r="B233" s="148"/>
      <c r="C233" s="53"/>
      <c r="D233" s="53"/>
      <c r="E233" s="53"/>
      <c r="F233" s="53"/>
    </row>
    <row r="234">
      <c r="A234" s="148"/>
      <c r="B234" s="148"/>
      <c r="C234" s="53"/>
      <c r="D234" s="53"/>
      <c r="E234" s="53"/>
      <c r="F234" s="53"/>
    </row>
    <row r="235">
      <c r="A235" s="148"/>
      <c r="B235" s="148"/>
      <c r="C235" s="53"/>
      <c r="D235" s="53"/>
      <c r="E235" s="53"/>
      <c r="F235" s="53"/>
    </row>
    <row r="236">
      <c r="A236" s="148"/>
      <c r="B236" s="148"/>
      <c r="C236" s="53"/>
      <c r="D236" s="53"/>
      <c r="E236" s="53"/>
      <c r="F236" s="53"/>
    </row>
    <row r="237">
      <c r="A237" s="148"/>
      <c r="B237" s="148"/>
      <c r="C237" s="53"/>
      <c r="D237" s="53"/>
      <c r="E237" s="53"/>
      <c r="F237" s="53"/>
    </row>
    <row r="238">
      <c r="A238" s="148"/>
      <c r="B238" s="148"/>
      <c r="C238" s="53"/>
      <c r="D238" s="53"/>
      <c r="E238" s="53"/>
      <c r="F238" s="53"/>
    </row>
    <row r="239">
      <c r="A239" s="148"/>
      <c r="B239" s="148"/>
      <c r="C239" s="53"/>
      <c r="D239" s="53"/>
      <c r="E239" s="53"/>
      <c r="F239" s="53"/>
    </row>
    <row r="240">
      <c r="A240" s="148"/>
      <c r="B240" s="148"/>
      <c r="C240" s="53"/>
      <c r="D240" s="53"/>
      <c r="E240" s="53"/>
      <c r="F240" s="53"/>
    </row>
    <row r="241">
      <c r="A241" s="148"/>
      <c r="B241" s="148"/>
      <c r="C241" s="53"/>
      <c r="D241" s="53"/>
      <c r="E241" s="53"/>
      <c r="F241" s="53"/>
    </row>
    <row r="242">
      <c r="A242" s="148"/>
      <c r="B242" s="148"/>
      <c r="C242" s="53"/>
      <c r="D242" s="53"/>
      <c r="E242" s="53"/>
      <c r="F242" s="53"/>
    </row>
    <row r="243">
      <c r="A243" s="148"/>
      <c r="B243" s="148"/>
      <c r="C243" s="53"/>
      <c r="D243" s="53"/>
      <c r="E243" s="53"/>
      <c r="F243" s="53"/>
    </row>
    <row r="244">
      <c r="A244" s="148"/>
      <c r="B244" s="148"/>
      <c r="C244" s="53"/>
      <c r="D244" s="53"/>
      <c r="E244" s="53"/>
      <c r="F244" s="53"/>
    </row>
    <row r="245">
      <c r="A245" s="148"/>
      <c r="B245" s="148"/>
      <c r="C245" s="53"/>
      <c r="D245" s="53"/>
      <c r="E245" s="53"/>
      <c r="F245" s="53"/>
    </row>
    <row r="246">
      <c r="A246" s="148"/>
      <c r="B246" s="148"/>
      <c r="C246" s="53"/>
      <c r="D246" s="53"/>
      <c r="E246" s="53"/>
      <c r="F246" s="53"/>
    </row>
    <row r="247">
      <c r="A247" s="148"/>
      <c r="B247" s="148"/>
      <c r="C247" s="53"/>
      <c r="D247" s="53"/>
      <c r="E247" s="53"/>
      <c r="F247" s="53"/>
    </row>
    <row r="248">
      <c r="A248" s="148"/>
      <c r="B248" s="148"/>
      <c r="C248" s="53"/>
      <c r="D248" s="53"/>
      <c r="E248" s="53"/>
      <c r="F248" s="53"/>
    </row>
    <row r="249">
      <c r="A249" s="148"/>
      <c r="B249" s="148"/>
      <c r="C249" s="53"/>
      <c r="D249" s="53"/>
      <c r="E249" s="53"/>
      <c r="F249" s="53"/>
    </row>
    <row r="250">
      <c r="A250" s="148"/>
      <c r="B250" s="148"/>
      <c r="C250" s="53"/>
      <c r="D250" s="53"/>
      <c r="E250" s="53"/>
      <c r="F250" s="53"/>
    </row>
    <row r="251">
      <c r="A251" s="148"/>
      <c r="B251" s="148"/>
      <c r="C251" s="53"/>
      <c r="D251" s="53"/>
      <c r="E251" s="53"/>
      <c r="F251" s="53"/>
    </row>
    <row r="252">
      <c r="A252" s="148"/>
      <c r="B252" s="148"/>
      <c r="C252" s="53"/>
      <c r="D252" s="53"/>
      <c r="E252" s="53"/>
      <c r="F252" s="53"/>
    </row>
    <row r="253">
      <c r="A253" s="148"/>
      <c r="B253" s="148"/>
      <c r="C253" s="53"/>
      <c r="D253" s="53"/>
      <c r="E253" s="53"/>
      <c r="F253" s="53"/>
    </row>
    <row r="254">
      <c r="A254" s="148"/>
      <c r="B254" s="148"/>
      <c r="C254" s="53"/>
      <c r="D254" s="53"/>
      <c r="E254" s="53"/>
      <c r="F254" s="53"/>
    </row>
    <row r="255">
      <c r="A255" s="148"/>
      <c r="B255" s="148"/>
      <c r="C255" s="53"/>
      <c r="D255" s="53"/>
      <c r="E255" s="53"/>
      <c r="F255" s="53"/>
    </row>
    <row r="256">
      <c r="A256" s="148"/>
      <c r="B256" s="148"/>
      <c r="C256" s="53"/>
      <c r="D256" s="53"/>
      <c r="E256" s="53"/>
      <c r="F256" s="53"/>
    </row>
    <row r="257">
      <c r="A257" s="148"/>
      <c r="B257" s="148"/>
      <c r="C257" s="53"/>
      <c r="D257" s="53"/>
      <c r="E257" s="53"/>
      <c r="F257" s="53"/>
    </row>
    <row r="258">
      <c r="A258" s="148"/>
      <c r="B258" s="148"/>
      <c r="C258" s="53"/>
      <c r="D258" s="53"/>
      <c r="E258" s="53"/>
      <c r="F258" s="53"/>
    </row>
    <row r="259">
      <c r="A259" s="148"/>
      <c r="B259" s="148"/>
      <c r="C259" s="53"/>
      <c r="D259" s="53"/>
      <c r="E259" s="53"/>
      <c r="F259" s="53"/>
    </row>
    <row r="260">
      <c r="A260" s="148"/>
      <c r="B260" s="148"/>
      <c r="C260" s="53"/>
      <c r="D260" s="53"/>
      <c r="E260" s="53"/>
      <c r="F260" s="53"/>
    </row>
    <row r="261">
      <c r="A261" s="148"/>
      <c r="B261" s="148"/>
      <c r="C261" s="53"/>
      <c r="D261" s="53"/>
      <c r="E261" s="53"/>
      <c r="F261" s="53"/>
    </row>
    <row r="262">
      <c r="A262" s="148"/>
      <c r="B262" s="148"/>
      <c r="C262" s="53"/>
      <c r="D262" s="53"/>
      <c r="E262" s="53"/>
      <c r="F262" s="53"/>
    </row>
    <row r="263">
      <c r="A263" s="148"/>
      <c r="B263" s="148"/>
      <c r="C263" s="53"/>
      <c r="D263" s="53"/>
      <c r="E263" s="53"/>
      <c r="F263" s="53"/>
    </row>
    <row r="264">
      <c r="A264" s="148"/>
      <c r="B264" s="148"/>
      <c r="C264" s="53"/>
      <c r="D264" s="53"/>
      <c r="E264" s="53"/>
      <c r="F264" s="53"/>
    </row>
    <row r="265">
      <c r="A265" s="148"/>
      <c r="B265" s="148"/>
      <c r="C265" s="53"/>
      <c r="D265" s="53"/>
      <c r="E265" s="53"/>
      <c r="F265" s="53"/>
    </row>
    <row r="266">
      <c r="A266" s="148"/>
      <c r="B266" s="148"/>
      <c r="C266" s="53"/>
      <c r="D266" s="53"/>
      <c r="E266" s="53"/>
      <c r="F266" s="53"/>
    </row>
    <row r="267">
      <c r="A267" s="148"/>
      <c r="B267" s="148"/>
      <c r="C267" s="53"/>
      <c r="D267" s="53"/>
      <c r="E267" s="53"/>
      <c r="F267" s="53"/>
    </row>
    <row r="268">
      <c r="A268" s="148"/>
      <c r="B268" s="148"/>
      <c r="C268" s="53"/>
      <c r="D268" s="53"/>
      <c r="E268" s="53"/>
      <c r="F268" s="53"/>
    </row>
    <row r="269">
      <c r="A269" s="148"/>
      <c r="B269" s="148"/>
      <c r="C269" s="53"/>
      <c r="D269" s="53"/>
      <c r="E269" s="53"/>
      <c r="F269" s="53"/>
    </row>
    <row r="270">
      <c r="A270" s="148"/>
      <c r="B270" s="148"/>
      <c r="C270" s="53"/>
      <c r="D270" s="53"/>
      <c r="E270" s="53"/>
      <c r="F270" s="53"/>
    </row>
    <row r="271">
      <c r="A271" s="148"/>
      <c r="B271" s="148"/>
      <c r="C271" s="53"/>
      <c r="D271" s="53"/>
      <c r="E271" s="53"/>
      <c r="F271" s="53"/>
    </row>
    <row r="272">
      <c r="A272" s="148"/>
      <c r="B272" s="148"/>
      <c r="C272" s="53"/>
      <c r="D272" s="53"/>
      <c r="E272" s="53"/>
      <c r="F272" s="53"/>
    </row>
    <row r="273">
      <c r="A273" s="148"/>
      <c r="B273" s="148"/>
      <c r="C273" s="53"/>
      <c r="D273" s="53"/>
      <c r="E273" s="53"/>
      <c r="F273" s="53"/>
    </row>
    <row r="274">
      <c r="A274" s="148"/>
      <c r="B274" s="148"/>
      <c r="C274" s="53"/>
      <c r="D274" s="53"/>
      <c r="E274" s="53"/>
      <c r="F274" s="53"/>
    </row>
    <row r="275">
      <c r="A275" s="148"/>
      <c r="B275" s="148"/>
      <c r="C275" s="53"/>
      <c r="D275" s="53"/>
      <c r="E275" s="53"/>
      <c r="F275" s="53"/>
    </row>
    <row r="276">
      <c r="A276" s="148"/>
      <c r="B276" s="148"/>
      <c r="C276" s="53"/>
      <c r="D276" s="53"/>
      <c r="E276" s="53"/>
      <c r="F276" s="53"/>
    </row>
    <row r="277">
      <c r="A277" s="148"/>
      <c r="B277" s="148"/>
      <c r="C277" s="53"/>
      <c r="D277" s="53"/>
      <c r="E277" s="53"/>
      <c r="F277" s="53"/>
    </row>
    <row r="278">
      <c r="A278" s="148"/>
      <c r="B278" s="148"/>
      <c r="C278" s="53"/>
      <c r="D278" s="53"/>
      <c r="E278" s="53"/>
      <c r="F278" s="53"/>
    </row>
    <row r="279">
      <c r="A279" s="148"/>
      <c r="B279" s="148"/>
      <c r="C279" s="53"/>
      <c r="D279" s="53"/>
      <c r="E279" s="53"/>
      <c r="F279" s="53"/>
    </row>
    <row r="280">
      <c r="A280" s="148"/>
      <c r="B280" s="148"/>
      <c r="C280" s="53"/>
      <c r="D280" s="53"/>
      <c r="E280" s="53"/>
      <c r="F280" s="53"/>
    </row>
    <row r="281">
      <c r="A281" s="148"/>
      <c r="B281" s="148"/>
      <c r="C281" s="53"/>
      <c r="D281" s="53"/>
      <c r="E281" s="53"/>
      <c r="F281" s="53"/>
    </row>
    <row r="282">
      <c r="A282" s="148"/>
      <c r="B282" s="148"/>
      <c r="C282" s="53"/>
      <c r="D282" s="53"/>
      <c r="E282" s="53"/>
      <c r="F282" s="53"/>
    </row>
    <row r="283">
      <c r="A283" s="148"/>
      <c r="B283" s="148"/>
      <c r="C283" s="53"/>
      <c r="D283" s="53"/>
      <c r="E283" s="53"/>
      <c r="F283" s="53"/>
    </row>
    <row r="284">
      <c r="A284" s="148"/>
      <c r="B284" s="148"/>
      <c r="C284" s="53"/>
      <c r="D284" s="53"/>
      <c r="E284" s="53"/>
      <c r="F284" s="53"/>
    </row>
    <row r="285">
      <c r="A285" s="148"/>
      <c r="B285" s="148"/>
      <c r="C285" s="53"/>
      <c r="D285" s="53"/>
      <c r="E285" s="53"/>
      <c r="F285" s="53"/>
    </row>
    <row r="286">
      <c r="A286" s="148"/>
      <c r="B286" s="148"/>
      <c r="C286" s="53"/>
      <c r="D286" s="53"/>
      <c r="E286" s="53"/>
      <c r="F286" s="53"/>
    </row>
    <row r="287">
      <c r="A287" s="148"/>
      <c r="B287" s="148"/>
      <c r="C287" s="53"/>
      <c r="D287" s="53"/>
      <c r="E287" s="53"/>
      <c r="F287" s="53"/>
    </row>
    <row r="288">
      <c r="A288" s="148"/>
      <c r="B288" s="148"/>
      <c r="C288" s="53"/>
      <c r="D288" s="53"/>
      <c r="E288" s="53"/>
      <c r="F288" s="53"/>
    </row>
    <row r="289">
      <c r="A289" s="148"/>
      <c r="B289" s="148"/>
      <c r="C289" s="53"/>
      <c r="D289" s="53"/>
      <c r="E289" s="53"/>
      <c r="F289" s="53"/>
    </row>
    <row r="290">
      <c r="A290" s="148"/>
      <c r="B290" s="148"/>
      <c r="C290" s="53"/>
      <c r="D290" s="53"/>
      <c r="E290" s="53"/>
      <c r="F290" s="53"/>
    </row>
    <row r="291">
      <c r="A291" s="148"/>
      <c r="B291" s="148"/>
      <c r="C291" s="53"/>
      <c r="D291" s="53"/>
      <c r="E291" s="53"/>
      <c r="F291" s="53"/>
    </row>
    <row r="292">
      <c r="A292" s="148"/>
      <c r="B292" s="148"/>
      <c r="C292" s="53"/>
      <c r="D292" s="53"/>
      <c r="E292" s="53"/>
      <c r="F292" s="53"/>
    </row>
    <row r="293">
      <c r="A293" s="148"/>
      <c r="B293" s="148"/>
      <c r="C293" s="53"/>
      <c r="D293" s="53"/>
      <c r="E293" s="53"/>
      <c r="F293" s="53"/>
    </row>
    <row r="294">
      <c r="A294" s="148"/>
      <c r="B294" s="148"/>
      <c r="C294" s="53"/>
      <c r="D294" s="53"/>
      <c r="E294" s="53"/>
      <c r="F294" s="53"/>
    </row>
    <row r="295">
      <c r="A295" s="148"/>
      <c r="B295" s="148"/>
      <c r="C295" s="53"/>
      <c r="D295" s="53"/>
      <c r="E295" s="53"/>
      <c r="F295" s="53"/>
    </row>
    <row r="296">
      <c r="A296" s="148"/>
      <c r="B296" s="148"/>
      <c r="C296" s="53"/>
      <c r="D296" s="53"/>
      <c r="E296" s="53"/>
      <c r="F296" s="53"/>
    </row>
    <row r="297">
      <c r="A297" s="148"/>
      <c r="B297" s="148"/>
      <c r="C297" s="53"/>
      <c r="D297" s="53"/>
      <c r="E297" s="53"/>
      <c r="F297" s="53"/>
    </row>
    <row r="298">
      <c r="A298" s="148"/>
      <c r="B298" s="148"/>
      <c r="C298" s="53"/>
      <c r="D298" s="53"/>
      <c r="E298" s="53"/>
      <c r="F298" s="53"/>
    </row>
    <row r="299">
      <c r="A299" s="148"/>
      <c r="B299" s="148"/>
      <c r="C299" s="53"/>
      <c r="D299" s="53"/>
      <c r="E299" s="53"/>
      <c r="F299" s="53"/>
    </row>
    <row r="300">
      <c r="A300" s="148"/>
      <c r="B300" s="148"/>
      <c r="C300" s="53"/>
      <c r="D300" s="53"/>
      <c r="E300" s="53"/>
      <c r="F300" s="53"/>
    </row>
    <row r="301">
      <c r="A301" s="148"/>
      <c r="B301" s="148"/>
      <c r="C301" s="53"/>
      <c r="D301" s="53"/>
      <c r="E301" s="53"/>
      <c r="F301" s="53"/>
    </row>
    <row r="302">
      <c r="A302" s="148"/>
      <c r="B302" s="148"/>
      <c r="C302" s="53"/>
      <c r="D302" s="53"/>
      <c r="E302" s="53"/>
      <c r="F302" s="53"/>
    </row>
    <row r="303">
      <c r="A303" s="148"/>
      <c r="B303" s="148"/>
      <c r="C303" s="53"/>
      <c r="D303" s="53"/>
      <c r="E303" s="53"/>
      <c r="F303" s="53"/>
    </row>
    <row r="304">
      <c r="A304" s="148"/>
      <c r="B304" s="148"/>
      <c r="C304" s="53"/>
      <c r="D304" s="53"/>
      <c r="E304" s="53"/>
      <c r="F304" s="53"/>
    </row>
    <row r="305">
      <c r="A305" s="148"/>
      <c r="B305" s="148"/>
      <c r="C305" s="53"/>
      <c r="D305" s="53"/>
      <c r="E305" s="53"/>
      <c r="F305" s="53"/>
    </row>
    <row r="306">
      <c r="A306" s="148"/>
      <c r="B306" s="148"/>
      <c r="C306" s="53"/>
      <c r="D306" s="53"/>
      <c r="E306" s="53"/>
      <c r="F306" s="53"/>
    </row>
    <row r="307">
      <c r="A307" s="148"/>
      <c r="B307" s="148"/>
      <c r="C307" s="53"/>
      <c r="D307" s="53"/>
      <c r="E307" s="53"/>
      <c r="F307" s="53"/>
    </row>
    <row r="308">
      <c r="A308" s="148"/>
      <c r="B308" s="148"/>
      <c r="C308" s="53"/>
      <c r="D308" s="53"/>
      <c r="E308" s="53"/>
      <c r="F308" s="53"/>
    </row>
    <row r="309">
      <c r="A309" s="148"/>
      <c r="B309" s="148"/>
      <c r="C309" s="53"/>
      <c r="D309" s="53"/>
      <c r="E309" s="53"/>
      <c r="F309" s="53"/>
    </row>
    <row r="310">
      <c r="A310" s="148"/>
      <c r="B310" s="148"/>
      <c r="C310" s="53"/>
      <c r="D310" s="53"/>
      <c r="E310" s="53"/>
      <c r="F310" s="53"/>
    </row>
    <row r="311">
      <c r="A311" s="148"/>
      <c r="B311" s="148"/>
      <c r="C311" s="53"/>
      <c r="D311" s="53"/>
      <c r="E311" s="53"/>
      <c r="F311" s="53"/>
    </row>
    <row r="312">
      <c r="A312" s="148"/>
      <c r="B312" s="148"/>
      <c r="C312" s="53"/>
      <c r="D312" s="53"/>
      <c r="E312" s="53"/>
      <c r="F312" s="53"/>
    </row>
    <row r="313">
      <c r="A313" s="148"/>
      <c r="B313" s="148"/>
      <c r="C313" s="53"/>
      <c r="D313" s="53"/>
      <c r="E313" s="53"/>
      <c r="F313" s="53"/>
    </row>
    <row r="314">
      <c r="A314" s="148"/>
      <c r="B314" s="148"/>
      <c r="C314" s="53"/>
      <c r="D314" s="53"/>
      <c r="E314" s="53"/>
      <c r="F314" s="53"/>
    </row>
    <row r="315">
      <c r="A315" s="148"/>
      <c r="B315" s="148"/>
      <c r="C315" s="53"/>
      <c r="D315" s="53"/>
      <c r="E315" s="53"/>
      <c r="F315" s="53"/>
    </row>
    <row r="316">
      <c r="A316" s="148"/>
      <c r="B316" s="148"/>
      <c r="C316" s="53"/>
      <c r="D316" s="53"/>
      <c r="E316" s="53"/>
      <c r="F316" s="53"/>
    </row>
    <row r="317">
      <c r="A317" s="148"/>
      <c r="B317" s="148"/>
      <c r="C317" s="53"/>
      <c r="D317" s="53"/>
      <c r="E317" s="53"/>
      <c r="F317" s="53"/>
    </row>
    <row r="318">
      <c r="A318" s="148"/>
      <c r="B318" s="148"/>
      <c r="C318" s="53"/>
      <c r="D318" s="53"/>
      <c r="E318" s="53"/>
      <c r="F318" s="53"/>
    </row>
    <row r="319">
      <c r="A319" s="148"/>
      <c r="B319" s="148"/>
      <c r="C319" s="53"/>
      <c r="D319" s="53"/>
      <c r="E319" s="53"/>
      <c r="F319" s="53"/>
    </row>
    <row r="320">
      <c r="A320" s="148"/>
      <c r="B320" s="148"/>
      <c r="C320" s="53"/>
      <c r="D320" s="53"/>
      <c r="E320" s="53"/>
      <c r="F320" s="53"/>
    </row>
    <row r="321">
      <c r="A321" s="148"/>
      <c r="B321" s="148"/>
      <c r="C321" s="53"/>
      <c r="D321" s="53"/>
      <c r="E321" s="53"/>
      <c r="F321" s="53"/>
    </row>
    <row r="322">
      <c r="A322" s="148"/>
      <c r="B322" s="148"/>
      <c r="C322" s="53"/>
      <c r="D322" s="53"/>
      <c r="E322" s="53"/>
      <c r="F322" s="53"/>
    </row>
    <row r="323">
      <c r="A323" s="148"/>
      <c r="B323" s="148"/>
      <c r="C323" s="53"/>
      <c r="D323" s="53"/>
      <c r="E323" s="53"/>
      <c r="F323" s="53"/>
    </row>
    <row r="324">
      <c r="A324" s="148"/>
      <c r="B324" s="148"/>
      <c r="C324" s="53"/>
      <c r="D324" s="53"/>
      <c r="E324" s="53"/>
      <c r="F324" s="53"/>
    </row>
    <row r="325">
      <c r="A325" s="148"/>
      <c r="B325" s="148"/>
      <c r="C325" s="53"/>
      <c r="D325" s="53"/>
      <c r="E325" s="53"/>
      <c r="F325" s="53"/>
    </row>
    <row r="326">
      <c r="A326" s="148"/>
      <c r="B326" s="148"/>
      <c r="C326" s="53"/>
      <c r="D326" s="53"/>
      <c r="E326" s="53"/>
      <c r="F326" s="53"/>
    </row>
    <row r="327">
      <c r="A327" s="148"/>
      <c r="B327" s="148"/>
      <c r="C327" s="53"/>
      <c r="D327" s="53"/>
      <c r="E327" s="53"/>
      <c r="F327" s="53"/>
    </row>
    <row r="328">
      <c r="A328" s="148"/>
      <c r="B328" s="148"/>
      <c r="C328" s="53"/>
      <c r="D328" s="53"/>
      <c r="E328" s="53"/>
      <c r="F328" s="53"/>
    </row>
    <row r="329">
      <c r="A329" s="148"/>
      <c r="B329" s="148"/>
      <c r="C329" s="53"/>
      <c r="D329" s="53"/>
      <c r="E329" s="53"/>
      <c r="F329" s="53"/>
    </row>
    <row r="330">
      <c r="A330" s="148"/>
      <c r="B330" s="148"/>
      <c r="C330" s="53"/>
      <c r="D330" s="53"/>
      <c r="E330" s="53"/>
      <c r="F330" s="53"/>
    </row>
    <row r="331">
      <c r="A331" s="148"/>
      <c r="B331" s="148"/>
      <c r="C331" s="53"/>
      <c r="D331" s="53"/>
      <c r="E331" s="53"/>
      <c r="F331" s="53"/>
    </row>
    <row r="332">
      <c r="A332" s="148"/>
      <c r="B332" s="148"/>
      <c r="C332" s="53"/>
      <c r="D332" s="53"/>
      <c r="E332" s="53"/>
      <c r="F332" s="53"/>
    </row>
    <row r="333">
      <c r="A333" s="148"/>
      <c r="B333" s="148"/>
      <c r="C333" s="53"/>
      <c r="D333" s="53"/>
      <c r="E333" s="53"/>
      <c r="F333" s="53"/>
    </row>
    <row r="334">
      <c r="A334" s="148"/>
      <c r="B334" s="148"/>
      <c r="C334" s="53"/>
      <c r="D334" s="53"/>
      <c r="E334" s="53"/>
      <c r="F334" s="53"/>
    </row>
    <row r="335">
      <c r="A335" s="148"/>
      <c r="B335" s="148"/>
      <c r="C335" s="53"/>
      <c r="D335" s="53"/>
      <c r="E335" s="53"/>
      <c r="F335" s="53"/>
    </row>
    <row r="336">
      <c r="A336" s="148"/>
      <c r="B336" s="148"/>
      <c r="C336" s="53"/>
      <c r="D336" s="53"/>
      <c r="E336" s="53"/>
      <c r="F336" s="53"/>
    </row>
    <row r="337">
      <c r="A337" s="148"/>
      <c r="B337" s="148"/>
      <c r="C337" s="53"/>
      <c r="D337" s="53"/>
      <c r="E337" s="53"/>
      <c r="F337" s="53"/>
    </row>
    <row r="338">
      <c r="A338" s="148"/>
      <c r="B338" s="148"/>
      <c r="C338" s="53"/>
      <c r="D338" s="53"/>
      <c r="E338" s="53"/>
      <c r="F338" s="53"/>
    </row>
    <row r="339">
      <c r="A339" s="148"/>
      <c r="B339" s="148"/>
      <c r="C339" s="53"/>
      <c r="D339" s="53"/>
      <c r="E339" s="53"/>
      <c r="F339" s="53"/>
    </row>
    <row r="340">
      <c r="A340" s="148"/>
      <c r="B340" s="148"/>
      <c r="C340" s="53"/>
      <c r="D340" s="53"/>
      <c r="E340" s="53"/>
      <c r="F340" s="53"/>
    </row>
    <row r="341">
      <c r="A341" s="148"/>
      <c r="B341" s="148"/>
      <c r="C341" s="53"/>
      <c r="D341" s="53"/>
      <c r="E341" s="53"/>
      <c r="F341" s="53"/>
    </row>
    <row r="342">
      <c r="A342" s="148"/>
      <c r="B342" s="148"/>
      <c r="C342" s="53"/>
      <c r="D342" s="53"/>
      <c r="E342" s="53"/>
      <c r="F342" s="53"/>
    </row>
    <row r="343">
      <c r="A343" s="148"/>
      <c r="B343" s="148"/>
      <c r="C343" s="53"/>
      <c r="D343" s="53"/>
      <c r="E343" s="53"/>
      <c r="F343" s="53"/>
    </row>
    <row r="344">
      <c r="A344" s="148"/>
      <c r="B344" s="148"/>
      <c r="C344" s="53"/>
      <c r="D344" s="53"/>
      <c r="E344" s="53"/>
      <c r="F344" s="53"/>
    </row>
    <row r="345">
      <c r="A345" s="148"/>
      <c r="B345" s="148"/>
      <c r="C345" s="53"/>
      <c r="D345" s="53"/>
      <c r="E345" s="53"/>
      <c r="F345" s="53"/>
    </row>
    <row r="346">
      <c r="A346" s="148"/>
      <c r="B346" s="148"/>
      <c r="C346" s="53"/>
      <c r="D346" s="53"/>
      <c r="E346" s="53"/>
      <c r="F346" s="53"/>
    </row>
    <row r="347">
      <c r="A347" s="148"/>
      <c r="B347" s="148"/>
      <c r="C347" s="53"/>
      <c r="D347" s="53"/>
      <c r="E347" s="53"/>
      <c r="F347" s="53"/>
    </row>
    <row r="348">
      <c r="A348" s="148"/>
      <c r="B348" s="148"/>
      <c r="C348" s="53"/>
      <c r="D348" s="53"/>
      <c r="E348" s="53"/>
      <c r="F348" s="53"/>
    </row>
    <row r="349">
      <c r="A349" s="148"/>
      <c r="B349" s="148"/>
      <c r="C349" s="53"/>
      <c r="D349" s="53"/>
      <c r="E349" s="53"/>
      <c r="F349" s="53"/>
    </row>
    <row r="350">
      <c r="A350" s="148"/>
      <c r="B350" s="148"/>
      <c r="C350" s="53"/>
      <c r="D350" s="53"/>
      <c r="E350" s="53"/>
      <c r="F350" s="53"/>
    </row>
    <row r="351">
      <c r="A351" s="148"/>
      <c r="B351" s="148"/>
      <c r="C351" s="53"/>
      <c r="D351" s="53"/>
      <c r="E351" s="53"/>
      <c r="F351" s="53"/>
    </row>
    <row r="352">
      <c r="A352" s="148"/>
      <c r="B352" s="148"/>
      <c r="C352" s="53"/>
      <c r="D352" s="53"/>
      <c r="E352" s="53"/>
      <c r="F352" s="53"/>
    </row>
    <row r="353">
      <c r="A353" s="148"/>
      <c r="B353" s="148"/>
      <c r="C353" s="53"/>
      <c r="D353" s="53"/>
      <c r="E353" s="53"/>
      <c r="F353" s="53"/>
    </row>
    <row r="354">
      <c r="A354" s="148"/>
      <c r="B354" s="148"/>
      <c r="C354" s="53"/>
      <c r="D354" s="53"/>
      <c r="E354" s="53"/>
      <c r="F354" s="53"/>
    </row>
    <row r="355">
      <c r="A355" s="148"/>
      <c r="B355" s="148"/>
      <c r="C355" s="53"/>
      <c r="D355" s="53"/>
      <c r="E355" s="53"/>
      <c r="F355" s="53"/>
    </row>
    <row r="356">
      <c r="A356" s="148"/>
      <c r="B356" s="148"/>
      <c r="C356" s="53"/>
      <c r="D356" s="53"/>
      <c r="E356" s="53"/>
      <c r="F356" s="53"/>
    </row>
    <row r="357">
      <c r="A357" s="148"/>
      <c r="B357" s="148"/>
      <c r="C357" s="53"/>
      <c r="D357" s="53"/>
      <c r="E357" s="53"/>
      <c r="F357" s="53"/>
    </row>
    <row r="358">
      <c r="A358" s="148"/>
      <c r="B358" s="148"/>
      <c r="C358" s="53"/>
      <c r="D358" s="53"/>
      <c r="E358" s="53"/>
      <c r="F358" s="53"/>
    </row>
    <row r="359">
      <c r="A359" s="148"/>
      <c r="B359" s="148"/>
      <c r="C359" s="53"/>
      <c r="D359" s="53"/>
      <c r="E359" s="53"/>
      <c r="F359" s="53"/>
    </row>
    <row r="360">
      <c r="A360" s="148"/>
      <c r="B360" s="148"/>
      <c r="C360" s="53"/>
      <c r="D360" s="53"/>
      <c r="E360" s="53"/>
      <c r="F360" s="53"/>
    </row>
    <row r="361">
      <c r="A361" s="148"/>
      <c r="B361" s="148"/>
      <c r="C361" s="53"/>
      <c r="D361" s="53"/>
      <c r="E361" s="53"/>
      <c r="F361" s="53"/>
    </row>
    <row r="362">
      <c r="A362" s="148"/>
      <c r="B362" s="148"/>
      <c r="C362" s="53"/>
      <c r="D362" s="53"/>
      <c r="E362" s="53"/>
      <c r="F362" s="53"/>
    </row>
    <row r="363">
      <c r="A363" s="148"/>
      <c r="B363" s="148"/>
      <c r="C363" s="53"/>
      <c r="D363" s="53"/>
      <c r="E363" s="53"/>
      <c r="F363" s="53"/>
    </row>
    <row r="364">
      <c r="A364" s="148"/>
      <c r="B364" s="148"/>
      <c r="C364" s="53"/>
      <c r="D364" s="53"/>
      <c r="E364" s="53"/>
      <c r="F364" s="53"/>
    </row>
    <row r="365">
      <c r="A365" s="148"/>
      <c r="B365" s="148"/>
      <c r="C365" s="53"/>
      <c r="D365" s="53"/>
      <c r="E365" s="53"/>
      <c r="F365" s="53"/>
    </row>
    <row r="366">
      <c r="A366" s="148"/>
      <c r="B366" s="148"/>
      <c r="C366" s="53"/>
      <c r="D366" s="53"/>
      <c r="E366" s="53"/>
      <c r="F366" s="53"/>
    </row>
    <row r="367">
      <c r="A367" s="148"/>
      <c r="B367" s="148"/>
      <c r="C367" s="53"/>
      <c r="D367" s="53"/>
      <c r="E367" s="53"/>
      <c r="F367" s="53"/>
    </row>
    <row r="368">
      <c r="A368" s="148"/>
      <c r="B368" s="148"/>
      <c r="C368" s="53"/>
      <c r="D368" s="53"/>
      <c r="E368" s="53"/>
      <c r="F368" s="53"/>
    </row>
    <row r="369">
      <c r="A369" s="148"/>
      <c r="B369" s="148"/>
      <c r="C369" s="53"/>
      <c r="D369" s="53"/>
      <c r="E369" s="53"/>
      <c r="F369" s="53"/>
    </row>
    <row r="370">
      <c r="A370" s="148"/>
      <c r="B370" s="148"/>
      <c r="C370" s="53"/>
      <c r="D370" s="53"/>
      <c r="E370" s="53"/>
      <c r="F370" s="53"/>
    </row>
    <row r="371">
      <c r="A371" s="148"/>
      <c r="B371" s="148"/>
      <c r="C371" s="53"/>
      <c r="D371" s="53"/>
      <c r="E371" s="53"/>
      <c r="F371" s="53"/>
    </row>
    <row r="372">
      <c r="A372" s="148"/>
      <c r="B372" s="148"/>
      <c r="C372" s="53"/>
      <c r="D372" s="53"/>
      <c r="E372" s="53"/>
      <c r="F372" s="53"/>
    </row>
    <row r="373">
      <c r="A373" s="148"/>
      <c r="B373" s="148"/>
      <c r="C373" s="53"/>
      <c r="D373" s="53"/>
      <c r="E373" s="53"/>
      <c r="F373" s="53"/>
    </row>
    <row r="374">
      <c r="A374" s="148"/>
      <c r="B374" s="148"/>
      <c r="C374" s="53"/>
      <c r="D374" s="53"/>
      <c r="E374" s="53"/>
      <c r="F374" s="53"/>
    </row>
    <row r="375">
      <c r="A375" s="148"/>
      <c r="B375" s="148"/>
      <c r="C375" s="53"/>
      <c r="D375" s="53"/>
      <c r="E375" s="53"/>
      <c r="F375" s="53"/>
    </row>
    <row r="376">
      <c r="A376" s="148"/>
      <c r="B376" s="148"/>
      <c r="C376" s="53"/>
      <c r="D376" s="53"/>
      <c r="E376" s="53"/>
      <c r="F376" s="53"/>
    </row>
    <row r="377">
      <c r="A377" s="148"/>
      <c r="B377" s="148"/>
      <c r="C377" s="53"/>
      <c r="D377" s="53"/>
      <c r="E377" s="53"/>
      <c r="F377" s="53"/>
    </row>
    <row r="378">
      <c r="A378" s="148"/>
      <c r="B378" s="148"/>
      <c r="C378" s="53"/>
      <c r="D378" s="53"/>
      <c r="E378" s="53"/>
      <c r="F378" s="53"/>
    </row>
    <row r="379">
      <c r="A379" s="148"/>
      <c r="B379" s="148"/>
      <c r="C379" s="53"/>
      <c r="D379" s="53"/>
      <c r="E379" s="53"/>
      <c r="F379" s="53"/>
    </row>
    <row r="380">
      <c r="A380" s="148"/>
      <c r="B380" s="148"/>
      <c r="C380" s="53"/>
      <c r="D380" s="53"/>
      <c r="E380" s="53"/>
      <c r="F380" s="53"/>
    </row>
    <row r="381">
      <c r="A381" s="148"/>
      <c r="B381" s="148"/>
      <c r="C381" s="53"/>
      <c r="D381" s="53"/>
      <c r="E381" s="53"/>
      <c r="F381" s="53"/>
    </row>
    <row r="382">
      <c r="A382" s="148"/>
      <c r="B382" s="148"/>
      <c r="C382" s="53"/>
      <c r="D382" s="53"/>
      <c r="E382" s="53"/>
      <c r="F382" s="53"/>
    </row>
    <row r="383">
      <c r="A383" s="148"/>
      <c r="B383" s="148"/>
      <c r="C383" s="53"/>
      <c r="D383" s="53"/>
      <c r="E383" s="53"/>
      <c r="F383" s="53"/>
    </row>
    <row r="384">
      <c r="A384" s="148"/>
      <c r="B384" s="148"/>
      <c r="C384" s="53"/>
      <c r="D384" s="53"/>
      <c r="E384" s="53"/>
      <c r="F384" s="53"/>
    </row>
    <row r="385">
      <c r="A385" s="148"/>
      <c r="B385" s="148"/>
      <c r="C385" s="53"/>
      <c r="D385" s="53"/>
      <c r="E385" s="53"/>
      <c r="F385" s="53"/>
    </row>
    <row r="386">
      <c r="A386" s="148"/>
      <c r="B386" s="148"/>
      <c r="C386" s="53"/>
      <c r="D386" s="53"/>
      <c r="E386" s="53"/>
      <c r="F386" s="53"/>
    </row>
    <row r="387">
      <c r="A387" s="148"/>
      <c r="B387" s="148"/>
      <c r="C387" s="53"/>
      <c r="D387" s="53"/>
      <c r="E387" s="53"/>
      <c r="F387" s="53"/>
    </row>
    <row r="388">
      <c r="A388" s="148"/>
      <c r="B388" s="148"/>
      <c r="C388" s="53"/>
      <c r="D388" s="53"/>
      <c r="E388" s="53"/>
      <c r="F388" s="53"/>
    </row>
    <row r="389">
      <c r="A389" s="148"/>
      <c r="B389" s="148"/>
      <c r="C389" s="53"/>
      <c r="D389" s="53"/>
      <c r="E389" s="53"/>
      <c r="F389" s="53"/>
    </row>
    <row r="390">
      <c r="A390" s="148"/>
      <c r="B390" s="148"/>
      <c r="C390" s="53"/>
      <c r="D390" s="53"/>
      <c r="E390" s="53"/>
      <c r="F390" s="53"/>
    </row>
    <row r="391">
      <c r="A391" s="148"/>
      <c r="B391" s="148"/>
      <c r="C391" s="53"/>
      <c r="D391" s="53"/>
      <c r="E391" s="53"/>
      <c r="F391" s="53"/>
    </row>
    <row r="392">
      <c r="A392" s="148"/>
      <c r="B392" s="148"/>
      <c r="C392" s="53"/>
      <c r="D392" s="53"/>
      <c r="E392" s="53"/>
      <c r="F392" s="53"/>
    </row>
    <row r="393">
      <c r="A393" s="148"/>
      <c r="B393" s="148"/>
      <c r="C393" s="53"/>
      <c r="D393" s="53"/>
      <c r="E393" s="53"/>
      <c r="F393" s="53"/>
    </row>
    <row r="394">
      <c r="A394" s="148"/>
      <c r="B394" s="148"/>
      <c r="C394" s="53"/>
      <c r="D394" s="53"/>
      <c r="E394" s="53"/>
      <c r="F394" s="53"/>
    </row>
    <row r="395">
      <c r="A395" s="148"/>
      <c r="B395" s="148"/>
      <c r="C395" s="53"/>
      <c r="D395" s="53"/>
      <c r="E395" s="53"/>
      <c r="F395" s="53"/>
    </row>
    <row r="396">
      <c r="A396" s="148"/>
      <c r="B396" s="148"/>
      <c r="C396" s="53"/>
      <c r="D396" s="53"/>
      <c r="E396" s="53"/>
      <c r="F396" s="53"/>
    </row>
    <row r="397">
      <c r="A397" s="148"/>
      <c r="B397" s="148"/>
      <c r="C397" s="53"/>
      <c r="D397" s="53"/>
      <c r="E397" s="53"/>
      <c r="F397" s="53"/>
    </row>
    <row r="398">
      <c r="A398" s="148"/>
      <c r="B398" s="148"/>
      <c r="C398" s="53"/>
      <c r="D398" s="53"/>
      <c r="E398" s="53"/>
      <c r="F398" s="53"/>
    </row>
    <row r="399">
      <c r="A399" s="148"/>
      <c r="B399" s="148"/>
      <c r="C399" s="53"/>
      <c r="D399" s="53"/>
      <c r="E399" s="53"/>
      <c r="F399" s="53"/>
    </row>
    <row r="400">
      <c r="A400" s="148"/>
      <c r="B400" s="148"/>
      <c r="C400" s="53"/>
      <c r="D400" s="53"/>
      <c r="E400" s="53"/>
      <c r="F400" s="53"/>
    </row>
    <row r="401">
      <c r="A401" s="148"/>
      <c r="B401" s="148"/>
      <c r="C401" s="53"/>
      <c r="D401" s="53"/>
      <c r="E401" s="53"/>
      <c r="F401" s="53"/>
    </row>
    <row r="402">
      <c r="A402" s="148"/>
      <c r="B402" s="148"/>
      <c r="C402" s="53"/>
      <c r="D402" s="53"/>
      <c r="E402" s="53"/>
      <c r="F402" s="53"/>
    </row>
    <row r="403">
      <c r="A403" s="148"/>
      <c r="B403" s="148"/>
      <c r="C403" s="53"/>
      <c r="D403" s="53"/>
      <c r="E403" s="53"/>
      <c r="F403" s="53"/>
    </row>
    <row r="404">
      <c r="A404" s="148"/>
      <c r="B404" s="148"/>
      <c r="C404" s="53"/>
      <c r="D404" s="53"/>
      <c r="E404" s="53"/>
      <c r="F404" s="53"/>
    </row>
    <row r="405">
      <c r="A405" s="148"/>
      <c r="B405" s="148"/>
      <c r="C405" s="53"/>
      <c r="D405" s="53"/>
      <c r="E405" s="53"/>
      <c r="F405" s="53"/>
    </row>
    <row r="406">
      <c r="A406" s="148"/>
      <c r="B406" s="148"/>
      <c r="C406" s="53"/>
      <c r="D406" s="53"/>
      <c r="E406" s="53"/>
      <c r="F406" s="53"/>
    </row>
    <row r="407">
      <c r="A407" s="148"/>
      <c r="B407" s="148"/>
      <c r="C407" s="53"/>
      <c r="D407" s="53"/>
      <c r="E407" s="53"/>
      <c r="F407" s="53"/>
    </row>
    <row r="408">
      <c r="A408" s="148"/>
      <c r="B408" s="148"/>
      <c r="C408" s="53"/>
      <c r="D408" s="53"/>
      <c r="E408" s="53"/>
      <c r="F408" s="53"/>
    </row>
    <row r="409">
      <c r="A409" s="148"/>
      <c r="B409" s="148"/>
      <c r="C409" s="53"/>
      <c r="D409" s="53"/>
      <c r="E409" s="53"/>
      <c r="F409" s="53"/>
    </row>
    <row r="410">
      <c r="A410" s="148"/>
      <c r="B410" s="148"/>
      <c r="C410" s="53"/>
      <c r="D410" s="53"/>
      <c r="E410" s="53"/>
      <c r="F410" s="53"/>
    </row>
    <row r="411">
      <c r="A411" s="148"/>
      <c r="B411" s="148"/>
      <c r="C411" s="53"/>
      <c r="D411" s="53"/>
      <c r="E411" s="53"/>
      <c r="F411" s="53"/>
    </row>
    <row r="412">
      <c r="A412" s="148"/>
      <c r="B412" s="148"/>
      <c r="C412" s="53"/>
      <c r="D412" s="53"/>
      <c r="E412" s="53"/>
      <c r="F412" s="53"/>
    </row>
    <row r="413">
      <c r="A413" s="148"/>
      <c r="B413" s="148"/>
      <c r="C413" s="53"/>
      <c r="D413" s="53"/>
      <c r="E413" s="53"/>
      <c r="F413" s="53"/>
    </row>
    <row r="414">
      <c r="A414" s="148"/>
      <c r="B414" s="148"/>
      <c r="C414" s="53"/>
      <c r="D414" s="53"/>
      <c r="E414" s="53"/>
      <c r="F414" s="53"/>
    </row>
    <row r="415">
      <c r="A415" s="148"/>
      <c r="B415" s="148"/>
      <c r="C415" s="53"/>
      <c r="D415" s="53"/>
      <c r="E415" s="53"/>
      <c r="F415" s="53"/>
    </row>
    <row r="416">
      <c r="A416" s="148"/>
      <c r="B416" s="148"/>
      <c r="C416" s="53"/>
      <c r="D416" s="53"/>
      <c r="E416" s="53"/>
      <c r="F416" s="53"/>
    </row>
    <row r="417">
      <c r="A417" s="148"/>
      <c r="B417" s="148"/>
      <c r="C417" s="53"/>
      <c r="D417" s="53"/>
      <c r="E417" s="53"/>
      <c r="F417" s="53"/>
    </row>
    <row r="418">
      <c r="A418" s="148"/>
      <c r="B418" s="148"/>
      <c r="C418" s="53"/>
      <c r="D418" s="53"/>
      <c r="E418" s="53"/>
      <c r="F418" s="53"/>
    </row>
    <row r="419">
      <c r="A419" s="148"/>
      <c r="B419" s="148"/>
      <c r="C419" s="53"/>
      <c r="D419" s="53"/>
      <c r="E419" s="53"/>
      <c r="F419" s="53"/>
    </row>
    <row r="420">
      <c r="A420" s="148"/>
      <c r="B420" s="148"/>
      <c r="C420" s="53"/>
      <c r="D420" s="53"/>
      <c r="E420" s="53"/>
      <c r="F420" s="53"/>
    </row>
    <row r="421">
      <c r="A421" s="148"/>
      <c r="B421" s="148"/>
      <c r="C421" s="53"/>
      <c r="D421" s="53"/>
      <c r="E421" s="53"/>
      <c r="F421" s="53"/>
    </row>
    <row r="422">
      <c r="A422" s="148"/>
      <c r="B422" s="148"/>
      <c r="C422" s="53"/>
      <c r="D422" s="53"/>
      <c r="E422" s="53"/>
      <c r="F422" s="53"/>
    </row>
    <row r="423">
      <c r="A423" s="148"/>
      <c r="B423" s="148"/>
      <c r="C423" s="53"/>
      <c r="D423" s="53"/>
      <c r="E423" s="53"/>
      <c r="F423" s="53"/>
    </row>
    <row r="424">
      <c r="A424" s="148"/>
      <c r="B424" s="148"/>
      <c r="C424" s="53"/>
      <c r="D424" s="53"/>
      <c r="E424" s="53"/>
      <c r="F424" s="53"/>
    </row>
    <row r="425">
      <c r="A425" s="148"/>
      <c r="B425" s="148"/>
      <c r="C425" s="53"/>
      <c r="D425" s="53"/>
      <c r="E425" s="53"/>
      <c r="F425" s="53"/>
    </row>
    <row r="426">
      <c r="A426" s="148"/>
      <c r="B426" s="148"/>
      <c r="C426" s="53"/>
      <c r="D426" s="53"/>
      <c r="E426" s="53"/>
      <c r="F426" s="53"/>
    </row>
    <row r="427">
      <c r="A427" s="148"/>
      <c r="B427" s="148"/>
      <c r="C427" s="53"/>
      <c r="D427" s="53"/>
      <c r="E427" s="53"/>
      <c r="F427" s="53"/>
    </row>
    <row r="428">
      <c r="A428" s="148"/>
      <c r="B428" s="148"/>
      <c r="C428" s="53"/>
      <c r="D428" s="53"/>
      <c r="E428" s="53"/>
      <c r="F428" s="53"/>
    </row>
    <row r="429">
      <c r="A429" s="148"/>
      <c r="B429" s="148"/>
      <c r="C429" s="53"/>
      <c r="D429" s="53"/>
      <c r="E429" s="53"/>
      <c r="F429" s="53"/>
    </row>
    <row r="430">
      <c r="A430" s="148"/>
      <c r="B430" s="148"/>
      <c r="C430" s="53"/>
      <c r="D430" s="53"/>
      <c r="E430" s="53"/>
      <c r="F430" s="53"/>
    </row>
    <row r="431">
      <c r="A431" s="148"/>
      <c r="B431" s="148"/>
      <c r="C431" s="53"/>
      <c r="D431" s="53"/>
      <c r="E431" s="53"/>
      <c r="F431" s="53"/>
    </row>
    <row r="432">
      <c r="A432" s="148"/>
      <c r="B432" s="148"/>
      <c r="C432" s="53"/>
      <c r="D432" s="53"/>
      <c r="E432" s="53"/>
      <c r="F432" s="53"/>
    </row>
    <row r="433">
      <c r="A433" s="148"/>
      <c r="B433" s="148"/>
      <c r="C433" s="53"/>
      <c r="D433" s="53"/>
      <c r="E433" s="53"/>
      <c r="F433" s="53"/>
    </row>
    <row r="434">
      <c r="A434" s="148"/>
      <c r="B434" s="148"/>
      <c r="C434" s="53"/>
      <c r="D434" s="53"/>
      <c r="E434" s="53"/>
      <c r="F434" s="53"/>
    </row>
    <row r="435">
      <c r="A435" s="148"/>
      <c r="B435" s="148"/>
      <c r="C435" s="53"/>
      <c r="D435" s="53"/>
      <c r="E435" s="53"/>
      <c r="F435" s="53"/>
    </row>
    <row r="436">
      <c r="A436" s="148"/>
      <c r="B436" s="148"/>
      <c r="C436" s="53"/>
      <c r="D436" s="53"/>
      <c r="E436" s="53"/>
      <c r="F436" s="53"/>
    </row>
    <row r="437">
      <c r="A437" s="148"/>
      <c r="B437" s="148"/>
      <c r="C437" s="53"/>
      <c r="D437" s="53"/>
      <c r="E437" s="53"/>
      <c r="F437" s="53"/>
    </row>
    <row r="438">
      <c r="A438" s="148"/>
      <c r="B438" s="148"/>
      <c r="C438" s="53"/>
      <c r="D438" s="53"/>
      <c r="E438" s="53"/>
      <c r="F438" s="53"/>
    </row>
    <row r="439">
      <c r="A439" s="148"/>
      <c r="B439" s="148"/>
      <c r="C439" s="53"/>
      <c r="D439" s="53"/>
      <c r="E439" s="53"/>
      <c r="F439" s="53"/>
    </row>
    <row r="440">
      <c r="A440" s="148"/>
      <c r="B440" s="148"/>
      <c r="C440" s="53"/>
      <c r="D440" s="53"/>
      <c r="E440" s="53"/>
      <c r="F440" s="53"/>
    </row>
    <row r="441">
      <c r="A441" s="148"/>
      <c r="B441" s="148"/>
      <c r="C441" s="53"/>
      <c r="D441" s="53"/>
      <c r="E441" s="53"/>
      <c r="F441" s="53"/>
    </row>
    <row r="442">
      <c r="A442" s="148"/>
      <c r="B442" s="148"/>
      <c r="C442" s="53"/>
      <c r="D442" s="53"/>
      <c r="E442" s="53"/>
      <c r="F442" s="53"/>
    </row>
    <row r="443">
      <c r="A443" s="148"/>
      <c r="B443" s="148"/>
      <c r="C443" s="53"/>
      <c r="D443" s="53"/>
      <c r="E443" s="53"/>
      <c r="F443" s="53"/>
    </row>
    <row r="444">
      <c r="A444" s="148"/>
      <c r="B444" s="148"/>
      <c r="C444" s="53"/>
      <c r="D444" s="53"/>
      <c r="E444" s="53"/>
      <c r="F444" s="53"/>
    </row>
    <row r="445">
      <c r="A445" s="148"/>
      <c r="B445" s="148"/>
      <c r="C445" s="53"/>
      <c r="D445" s="53"/>
      <c r="E445" s="53"/>
      <c r="F445" s="53"/>
    </row>
    <row r="446">
      <c r="A446" s="148"/>
      <c r="B446" s="148"/>
      <c r="C446" s="53"/>
      <c r="D446" s="53"/>
      <c r="E446" s="53"/>
      <c r="F446" s="53"/>
    </row>
    <row r="447">
      <c r="A447" s="148"/>
      <c r="B447" s="148"/>
      <c r="C447" s="53"/>
      <c r="D447" s="53"/>
      <c r="E447" s="53"/>
      <c r="F447" s="53"/>
    </row>
    <row r="448">
      <c r="A448" s="148"/>
      <c r="B448" s="148"/>
      <c r="C448" s="53"/>
      <c r="D448" s="53"/>
      <c r="E448" s="53"/>
      <c r="F448" s="53"/>
    </row>
    <row r="449">
      <c r="A449" s="148"/>
      <c r="B449" s="148"/>
      <c r="C449" s="53"/>
      <c r="D449" s="53"/>
      <c r="E449" s="53"/>
      <c r="F449" s="53"/>
    </row>
    <row r="450">
      <c r="A450" s="148"/>
      <c r="B450" s="148"/>
      <c r="C450" s="53"/>
      <c r="D450" s="53"/>
      <c r="E450" s="53"/>
      <c r="F450" s="53"/>
    </row>
    <row r="451">
      <c r="A451" s="148"/>
      <c r="B451" s="148"/>
      <c r="C451" s="53"/>
      <c r="D451" s="53"/>
      <c r="E451" s="53"/>
      <c r="F451" s="53"/>
    </row>
    <row r="452">
      <c r="A452" s="148"/>
      <c r="B452" s="148"/>
      <c r="C452" s="53"/>
      <c r="D452" s="53"/>
      <c r="E452" s="53"/>
      <c r="F452" s="53"/>
    </row>
    <row r="453">
      <c r="A453" s="148"/>
      <c r="B453" s="148"/>
      <c r="C453" s="53"/>
      <c r="D453" s="53"/>
      <c r="E453" s="53"/>
      <c r="F453" s="53"/>
    </row>
    <row r="454">
      <c r="A454" s="148"/>
      <c r="B454" s="148"/>
      <c r="C454" s="53"/>
      <c r="D454" s="53"/>
      <c r="E454" s="53"/>
      <c r="F454" s="53"/>
    </row>
    <row r="455">
      <c r="A455" s="148"/>
      <c r="B455" s="148"/>
      <c r="C455" s="53"/>
      <c r="D455" s="53"/>
      <c r="E455" s="53"/>
      <c r="F455" s="53"/>
    </row>
    <row r="456">
      <c r="A456" s="148"/>
      <c r="B456" s="148"/>
      <c r="C456" s="53"/>
      <c r="D456" s="53"/>
      <c r="E456" s="53"/>
      <c r="F456" s="53"/>
    </row>
    <row r="457">
      <c r="A457" s="148"/>
      <c r="B457" s="148"/>
      <c r="C457" s="53"/>
      <c r="D457" s="53"/>
      <c r="E457" s="53"/>
      <c r="F457" s="53"/>
    </row>
    <row r="458">
      <c r="A458" s="148"/>
      <c r="B458" s="148"/>
      <c r="C458" s="53"/>
      <c r="D458" s="53"/>
      <c r="E458" s="53"/>
      <c r="F458" s="53"/>
    </row>
    <row r="459">
      <c r="A459" s="148"/>
      <c r="B459" s="148"/>
      <c r="C459" s="53"/>
      <c r="D459" s="53"/>
      <c r="E459" s="53"/>
      <c r="F459" s="53"/>
    </row>
    <row r="460">
      <c r="A460" s="148"/>
      <c r="B460" s="148"/>
      <c r="C460" s="53"/>
      <c r="D460" s="53"/>
      <c r="E460" s="53"/>
      <c r="F460" s="53"/>
    </row>
    <row r="461">
      <c r="A461" s="148"/>
      <c r="B461" s="148"/>
      <c r="C461" s="53"/>
      <c r="D461" s="53"/>
      <c r="E461" s="53"/>
      <c r="F461" s="53"/>
    </row>
    <row r="462">
      <c r="A462" s="148"/>
      <c r="B462" s="148"/>
      <c r="C462" s="53"/>
      <c r="D462" s="53"/>
      <c r="E462" s="53"/>
      <c r="F462" s="53"/>
    </row>
    <row r="463">
      <c r="A463" s="148"/>
      <c r="B463" s="148"/>
      <c r="C463" s="53"/>
      <c r="D463" s="53"/>
      <c r="E463" s="53"/>
      <c r="F463" s="53"/>
    </row>
    <row r="464">
      <c r="A464" s="148"/>
      <c r="B464" s="148"/>
      <c r="C464" s="53"/>
      <c r="D464" s="53"/>
      <c r="E464" s="53"/>
      <c r="F464" s="53"/>
    </row>
    <row r="465">
      <c r="A465" s="148"/>
      <c r="B465" s="148"/>
      <c r="C465" s="53"/>
      <c r="D465" s="53"/>
      <c r="E465" s="53"/>
      <c r="F465" s="53"/>
    </row>
    <row r="466">
      <c r="A466" s="148"/>
      <c r="B466" s="148"/>
      <c r="C466" s="53"/>
      <c r="D466" s="53"/>
      <c r="E466" s="53"/>
      <c r="F466" s="53"/>
    </row>
    <row r="467">
      <c r="A467" s="148"/>
      <c r="B467" s="148"/>
      <c r="C467" s="53"/>
      <c r="D467" s="53"/>
      <c r="E467" s="53"/>
      <c r="F467" s="53"/>
    </row>
    <row r="468">
      <c r="A468" s="148"/>
      <c r="B468" s="148"/>
      <c r="C468" s="53"/>
      <c r="D468" s="53"/>
      <c r="E468" s="53"/>
      <c r="F468" s="53"/>
    </row>
    <row r="469">
      <c r="A469" s="148"/>
      <c r="B469" s="148"/>
      <c r="C469" s="53"/>
      <c r="D469" s="53"/>
      <c r="E469" s="53"/>
      <c r="F469" s="53"/>
    </row>
    <row r="470">
      <c r="A470" s="148"/>
      <c r="B470" s="148"/>
      <c r="C470" s="53"/>
      <c r="D470" s="53"/>
      <c r="E470" s="53"/>
      <c r="F470" s="53"/>
    </row>
    <row r="471">
      <c r="A471" s="148"/>
      <c r="B471" s="148"/>
      <c r="C471" s="53"/>
      <c r="D471" s="53"/>
      <c r="E471" s="53"/>
      <c r="F471" s="53"/>
    </row>
    <row r="472">
      <c r="A472" s="148"/>
      <c r="B472" s="148"/>
      <c r="C472" s="53"/>
      <c r="D472" s="53"/>
      <c r="E472" s="53"/>
      <c r="F472" s="53"/>
    </row>
    <row r="473">
      <c r="A473" s="148"/>
      <c r="B473" s="148"/>
      <c r="C473" s="53"/>
      <c r="D473" s="53"/>
      <c r="E473" s="53"/>
      <c r="F473" s="53"/>
    </row>
    <row r="474">
      <c r="A474" s="148"/>
      <c r="B474" s="148"/>
      <c r="C474" s="53"/>
      <c r="D474" s="53"/>
      <c r="E474" s="53"/>
      <c r="F474" s="53"/>
    </row>
    <row r="475">
      <c r="A475" s="148"/>
      <c r="B475" s="148"/>
      <c r="C475" s="53"/>
      <c r="D475" s="53"/>
      <c r="E475" s="53"/>
      <c r="F475" s="53"/>
    </row>
    <row r="476">
      <c r="A476" s="148"/>
      <c r="B476" s="148"/>
      <c r="C476" s="53"/>
      <c r="D476" s="53"/>
      <c r="E476" s="53"/>
      <c r="F476" s="53"/>
    </row>
    <row r="477">
      <c r="A477" s="148"/>
      <c r="B477" s="148"/>
      <c r="C477" s="53"/>
      <c r="D477" s="53"/>
      <c r="E477" s="53"/>
      <c r="F477" s="53"/>
    </row>
    <row r="478">
      <c r="A478" s="148"/>
      <c r="B478" s="148"/>
      <c r="C478" s="53"/>
      <c r="D478" s="53"/>
      <c r="E478" s="53"/>
      <c r="F478" s="53"/>
    </row>
    <row r="479">
      <c r="A479" s="148"/>
      <c r="B479" s="148"/>
      <c r="C479" s="53"/>
      <c r="D479" s="53"/>
      <c r="E479" s="53"/>
      <c r="F479" s="53"/>
    </row>
    <row r="480">
      <c r="A480" s="148"/>
      <c r="B480" s="148"/>
      <c r="C480" s="53"/>
      <c r="D480" s="53"/>
      <c r="E480" s="53"/>
      <c r="F480" s="53"/>
    </row>
    <row r="481">
      <c r="A481" s="148"/>
      <c r="B481" s="148"/>
      <c r="C481" s="53"/>
      <c r="D481" s="53"/>
      <c r="E481" s="53"/>
      <c r="F481" s="53"/>
    </row>
    <row r="482">
      <c r="A482" s="148"/>
      <c r="B482" s="148"/>
      <c r="C482" s="53"/>
      <c r="D482" s="53"/>
      <c r="E482" s="53"/>
      <c r="F482" s="53"/>
    </row>
    <row r="483">
      <c r="A483" s="148"/>
      <c r="B483" s="148"/>
      <c r="C483" s="53"/>
      <c r="D483" s="53"/>
      <c r="E483" s="53"/>
      <c r="F483" s="53"/>
    </row>
    <row r="484">
      <c r="A484" s="148"/>
      <c r="B484" s="148"/>
      <c r="C484" s="53"/>
      <c r="D484" s="53"/>
      <c r="E484" s="53"/>
      <c r="F484" s="53"/>
    </row>
    <row r="485">
      <c r="A485" s="148"/>
      <c r="B485" s="148"/>
      <c r="C485" s="53"/>
      <c r="D485" s="53"/>
      <c r="E485" s="53"/>
      <c r="F485" s="53"/>
    </row>
    <row r="486">
      <c r="A486" s="148"/>
      <c r="B486" s="148"/>
      <c r="C486" s="53"/>
      <c r="D486" s="53"/>
      <c r="E486" s="53"/>
      <c r="F486" s="53"/>
    </row>
    <row r="487">
      <c r="A487" s="148"/>
      <c r="B487" s="148"/>
      <c r="C487" s="53"/>
      <c r="D487" s="53"/>
      <c r="E487" s="53"/>
      <c r="F487" s="53"/>
    </row>
    <row r="488">
      <c r="A488" s="148"/>
      <c r="B488" s="148"/>
      <c r="C488" s="53"/>
      <c r="D488" s="53"/>
      <c r="E488" s="53"/>
      <c r="F488" s="53"/>
    </row>
    <row r="489">
      <c r="A489" s="148"/>
      <c r="B489" s="148"/>
      <c r="C489" s="53"/>
      <c r="D489" s="53"/>
      <c r="E489" s="53"/>
      <c r="F489" s="53"/>
    </row>
    <row r="490">
      <c r="A490" s="148"/>
      <c r="B490" s="148"/>
      <c r="C490" s="53"/>
      <c r="D490" s="53"/>
      <c r="E490" s="53"/>
      <c r="F490" s="53"/>
    </row>
    <row r="491">
      <c r="A491" s="148"/>
      <c r="B491" s="148"/>
      <c r="C491" s="53"/>
      <c r="D491" s="53"/>
      <c r="E491" s="53"/>
      <c r="F491" s="53"/>
    </row>
    <row r="492">
      <c r="A492" s="148"/>
      <c r="B492" s="148"/>
      <c r="C492" s="53"/>
      <c r="D492" s="53"/>
      <c r="E492" s="53"/>
      <c r="F492" s="53"/>
    </row>
    <row r="493">
      <c r="A493" s="148"/>
      <c r="B493" s="148"/>
      <c r="C493" s="53"/>
      <c r="D493" s="53"/>
      <c r="E493" s="53"/>
      <c r="F493" s="53"/>
    </row>
    <row r="494">
      <c r="A494" s="148"/>
      <c r="B494" s="148"/>
      <c r="C494" s="53"/>
      <c r="D494" s="53"/>
      <c r="E494" s="53"/>
      <c r="F494" s="53"/>
    </row>
    <row r="495">
      <c r="A495" s="148"/>
      <c r="B495" s="148"/>
      <c r="C495" s="53"/>
      <c r="D495" s="53"/>
      <c r="E495" s="53"/>
      <c r="F495" s="53"/>
    </row>
    <row r="496">
      <c r="A496" s="148"/>
      <c r="B496" s="148"/>
      <c r="C496" s="53"/>
      <c r="D496" s="53"/>
      <c r="E496" s="53"/>
      <c r="F496" s="53"/>
    </row>
    <row r="497">
      <c r="A497" s="148"/>
      <c r="B497" s="148"/>
      <c r="C497" s="53"/>
      <c r="D497" s="53"/>
      <c r="E497" s="53"/>
      <c r="F497" s="53"/>
    </row>
    <row r="498">
      <c r="A498" s="148"/>
      <c r="B498" s="148"/>
      <c r="C498" s="53"/>
      <c r="D498" s="53"/>
      <c r="E498" s="53"/>
      <c r="F498" s="53"/>
    </row>
    <row r="499">
      <c r="A499" s="148"/>
      <c r="B499" s="148"/>
      <c r="C499" s="53"/>
      <c r="D499" s="53"/>
      <c r="E499" s="53"/>
      <c r="F499" s="53"/>
    </row>
    <row r="500">
      <c r="A500" s="148"/>
      <c r="B500" s="148"/>
      <c r="C500" s="53"/>
      <c r="D500" s="53"/>
      <c r="E500" s="53"/>
      <c r="F500" s="53"/>
    </row>
    <row r="501">
      <c r="A501" s="148"/>
      <c r="B501" s="148"/>
      <c r="C501" s="53"/>
      <c r="D501" s="53"/>
      <c r="E501" s="53"/>
      <c r="F501" s="53"/>
    </row>
    <row r="502">
      <c r="A502" s="148"/>
      <c r="B502" s="148"/>
      <c r="C502" s="53"/>
      <c r="D502" s="53"/>
      <c r="E502" s="53"/>
      <c r="F502" s="53"/>
    </row>
    <row r="503">
      <c r="A503" s="148"/>
      <c r="B503" s="148"/>
      <c r="C503" s="53"/>
      <c r="D503" s="53"/>
      <c r="E503" s="53"/>
      <c r="F503" s="53"/>
    </row>
    <row r="504">
      <c r="A504" s="148"/>
      <c r="B504" s="148"/>
      <c r="C504" s="53"/>
      <c r="D504" s="53"/>
      <c r="E504" s="53"/>
      <c r="F504" s="53"/>
    </row>
    <row r="505">
      <c r="A505" s="148"/>
      <c r="B505" s="148"/>
      <c r="C505" s="53"/>
      <c r="D505" s="53"/>
      <c r="E505" s="53"/>
      <c r="F505" s="53"/>
    </row>
    <row r="506">
      <c r="A506" s="148"/>
      <c r="B506" s="148"/>
      <c r="C506" s="53"/>
      <c r="D506" s="53"/>
      <c r="E506" s="53"/>
      <c r="F506" s="53"/>
    </row>
    <row r="507">
      <c r="A507" s="148"/>
      <c r="B507" s="148"/>
      <c r="C507" s="53"/>
      <c r="D507" s="53"/>
      <c r="E507" s="53"/>
      <c r="F507" s="53"/>
    </row>
    <row r="508">
      <c r="A508" s="148"/>
      <c r="B508" s="148"/>
      <c r="C508" s="53"/>
      <c r="D508" s="53"/>
      <c r="E508" s="53"/>
      <c r="F508" s="53"/>
    </row>
    <row r="509">
      <c r="A509" s="148"/>
      <c r="B509" s="148"/>
      <c r="C509" s="53"/>
      <c r="D509" s="53"/>
      <c r="E509" s="53"/>
      <c r="F509" s="53"/>
    </row>
    <row r="510">
      <c r="A510" s="148"/>
      <c r="B510" s="148"/>
      <c r="C510" s="53"/>
      <c r="D510" s="53"/>
      <c r="E510" s="53"/>
      <c r="F510" s="53"/>
    </row>
    <row r="511">
      <c r="A511" s="148"/>
      <c r="B511" s="148"/>
      <c r="C511" s="53"/>
      <c r="D511" s="53"/>
      <c r="E511" s="53"/>
      <c r="F511" s="53"/>
    </row>
    <row r="512">
      <c r="A512" s="148"/>
      <c r="B512" s="148"/>
      <c r="C512" s="53"/>
      <c r="D512" s="53"/>
      <c r="E512" s="53"/>
      <c r="F512" s="53"/>
    </row>
    <row r="513">
      <c r="A513" s="148"/>
      <c r="B513" s="148"/>
      <c r="C513" s="53"/>
      <c r="D513" s="53"/>
      <c r="E513" s="53"/>
      <c r="F513" s="53"/>
    </row>
    <row r="514">
      <c r="A514" s="148"/>
      <c r="B514" s="148"/>
      <c r="C514" s="53"/>
      <c r="D514" s="53"/>
      <c r="E514" s="53"/>
      <c r="F514" s="53"/>
    </row>
    <row r="515">
      <c r="A515" s="148"/>
      <c r="B515" s="148"/>
      <c r="C515" s="53"/>
      <c r="D515" s="53"/>
      <c r="E515" s="53"/>
      <c r="F515" s="53"/>
    </row>
    <row r="516">
      <c r="A516" s="148"/>
      <c r="B516" s="148"/>
      <c r="C516" s="53"/>
      <c r="D516" s="53"/>
      <c r="E516" s="53"/>
      <c r="F516" s="53"/>
    </row>
    <row r="517">
      <c r="A517" s="148"/>
      <c r="B517" s="148"/>
      <c r="C517" s="53"/>
      <c r="D517" s="53"/>
      <c r="E517" s="53"/>
      <c r="F517" s="53"/>
    </row>
    <row r="518">
      <c r="A518" s="148"/>
      <c r="B518" s="148"/>
      <c r="C518" s="53"/>
      <c r="D518" s="53"/>
      <c r="E518" s="53"/>
      <c r="F518" s="53"/>
    </row>
    <row r="519">
      <c r="A519" s="148"/>
      <c r="B519" s="148"/>
      <c r="C519" s="53"/>
      <c r="D519" s="53"/>
      <c r="E519" s="53"/>
      <c r="F519" s="53"/>
    </row>
    <row r="520">
      <c r="A520" s="148"/>
      <c r="B520" s="148"/>
      <c r="C520" s="53"/>
      <c r="D520" s="53"/>
      <c r="E520" s="53"/>
      <c r="F520" s="53"/>
    </row>
    <row r="521">
      <c r="A521" s="148"/>
      <c r="B521" s="148"/>
      <c r="C521" s="53"/>
      <c r="D521" s="53"/>
      <c r="E521" s="53"/>
      <c r="F521" s="53"/>
    </row>
    <row r="522">
      <c r="A522" s="148"/>
      <c r="B522" s="148"/>
      <c r="C522" s="53"/>
      <c r="D522" s="53"/>
      <c r="E522" s="53"/>
      <c r="F522" s="53"/>
    </row>
    <row r="523">
      <c r="A523" s="148"/>
      <c r="B523" s="148"/>
      <c r="C523" s="53"/>
      <c r="D523" s="53"/>
      <c r="E523" s="53"/>
      <c r="F523" s="53"/>
    </row>
    <row r="524">
      <c r="A524" s="148"/>
      <c r="B524" s="148"/>
      <c r="C524" s="53"/>
      <c r="D524" s="53"/>
      <c r="E524" s="53"/>
      <c r="F524" s="53"/>
    </row>
    <row r="525">
      <c r="A525" s="148"/>
      <c r="B525" s="148"/>
      <c r="C525" s="53"/>
      <c r="D525" s="53"/>
      <c r="E525" s="53"/>
      <c r="F525" s="53"/>
    </row>
    <row r="526">
      <c r="A526" s="148"/>
      <c r="B526" s="148"/>
      <c r="C526" s="53"/>
      <c r="D526" s="53"/>
      <c r="E526" s="53"/>
      <c r="F526" s="53"/>
    </row>
    <row r="527">
      <c r="A527" s="148"/>
      <c r="B527" s="148"/>
      <c r="C527" s="53"/>
      <c r="D527" s="53"/>
      <c r="E527" s="53"/>
      <c r="F527" s="53"/>
    </row>
    <row r="528">
      <c r="A528" s="148"/>
      <c r="B528" s="148"/>
      <c r="C528" s="53"/>
      <c r="D528" s="53"/>
      <c r="E528" s="53"/>
      <c r="F528" s="53"/>
    </row>
    <row r="529">
      <c r="A529" s="148"/>
      <c r="B529" s="148"/>
      <c r="C529" s="53"/>
      <c r="D529" s="53"/>
      <c r="E529" s="53"/>
      <c r="F529" s="53"/>
    </row>
    <row r="530">
      <c r="A530" s="148"/>
      <c r="B530" s="148"/>
      <c r="C530" s="53"/>
      <c r="D530" s="53"/>
      <c r="E530" s="53"/>
      <c r="F530" s="53"/>
    </row>
    <row r="531">
      <c r="A531" s="148"/>
      <c r="B531" s="148"/>
      <c r="C531" s="53"/>
      <c r="D531" s="53"/>
      <c r="E531" s="53"/>
      <c r="F531" s="53"/>
    </row>
    <row r="532">
      <c r="A532" s="148"/>
      <c r="B532" s="148"/>
      <c r="C532" s="53"/>
      <c r="D532" s="53"/>
      <c r="E532" s="53"/>
      <c r="F532" s="53"/>
    </row>
    <row r="533">
      <c r="A533" s="148"/>
      <c r="B533" s="148"/>
      <c r="C533" s="53"/>
      <c r="D533" s="53"/>
      <c r="E533" s="53"/>
      <c r="F533" s="53"/>
    </row>
    <row r="534">
      <c r="A534" s="148"/>
      <c r="B534" s="148"/>
      <c r="C534" s="53"/>
      <c r="D534" s="53"/>
      <c r="E534" s="53"/>
      <c r="F534" s="53"/>
    </row>
    <row r="535">
      <c r="A535" s="148"/>
      <c r="B535" s="148"/>
      <c r="C535" s="53"/>
      <c r="D535" s="53"/>
      <c r="E535" s="53"/>
      <c r="F535" s="53"/>
    </row>
    <row r="536">
      <c r="A536" s="148"/>
      <c r="B536" s="148"/>
      <c r="C536" s="53"/>
      <c r="D536" s="53"/>
      <c r="E536" s="53"/>
      <c r="F536" s="53"/>
    </row>
    <row r="537">
      <c r="A537" s="148"/>
      <c r="B537" s="148"/>
      <c r="C537" s="53"/>
      <c r="D537" s="53"/>
      <c r="E537" s="53"/>
      <c r="F537" s="53"/>
    </row>
    <row r="538">
      <c r="A538" s="148"/>
      <c r="B538" s="148"/>
      <c r="C538" s="53"/>
      <c r="D538" s="53"/>
      <c r="E538" s="53"/>
      <c r="F538" s="53"/>
    </row>
    <row r="539">
      <c r="A539" s="148"/>
      <c r="B539" s="148"/>
      <c r="C539" s="53"/>
      <c r="D539" s="53"/>
      <c r="E539" s="53"/>
      <c r="F539" s="53"/>
    </row>
    <row r="540">
      <c r="A540" s="148"/>
      <c r="B540" s="148"/>
      <c r="C540" s="53"/>
      <c r="D540" s="53"/>
      <c r="E540" s="53"/>
      <c r="F540" s="53"/>
    </row>
    <row r="541">
      <c r="A541" s="148"/>
      <c r="B541" s="148"/>
      <c r="C541" s="53"/>
      <c r="D541" s="53"/>
      <c r="E541" s="53"/>
      <c r="F541" s="53"/>
    </row>
    <row r="542">
      <c r="A542" s="148"/>
      <c r="B542" s="148"/>
      <c r="C542" s="53"/>
      <c r="D542" s="53"/>
      <c r="E542" s="53"/>
      <c r="F542" s="53"/>
    </row>
    <row r="543">
      <c r="A543" s="148"/>
      <c r="B543" s="148"/>
      <c r="C543" s="53"/>
      <c r="D543" s="53"/>
      <c r="E543" s="53"/>
      <c r="F543" s="53"/>
    </row>
    <row r="544">
      <c r="A544" s="148"/>
      <c r="B544" s="148"/>
      <c r="C544" s="53"/>
      <c r="D544" s="53"/>
      <c r="E544" s="53"/>
      <c r="F544" s="53"/>
    </row>
    <row r="545">
      <c r="A545" s="148"/>
      <c r="B545" s="148"/>
      <c r="C545" s="53"/>
      <c r="D545" s="53"/>
      <c r="E545" s="53"/>
      <c r="F545" s="53"/>
    </row>
    <row r="546">
      <c r="A546" s="148"/>
      <c r="B546" s="148"/>
      <c r="C546" s="53"/>
      <c r="D546" s="53"/>
      <c r="E546" s="53"/>
      <c r="F546" s="53"/>
    </row>
    <row r="547">
      <c r="A547" s="148"/>
      <c r="B547" s="148"/>
      <c r="C547" s="53"/>
      <c r="D547" s="53"/>
      <c r="E547" s="53"/>
      <c r="F547" s="53"/>
    </row>
    <row r="548">
      <c r="A548" s="148"/>
      <c r="B548" s="148"/>
      <c r="C548" s="53"/>
      <c r="D548" s="53"/>
      <c r="E548" s="53"/>
      <c r="F548" s="53"/>
    </row>
    <row r="549">
      <c r="A549" s="148"/>
      <c r="B549" s="148"/>
      <c r="C549" s="53"/>
      <c r="D549" s="53"/>
      <c r="E549" s="53"/>
      <c r="F549" s="53"/>
    </row>
    <row r="550">
      <c r="A550" s="148"/>
      <c r="B550" s="148"/>
      <c r="C550" s="53"/>
      <c r="D550" s="53"/>
      <c r="E550" s="53"/>
      <c r="F550" s="53"/>
    </row>
    <row r="551">
      <c r="A551" s="148"/>
      <c r="B551" s="148"/>
      <c r="C551" s="53"/>
      <c r="D551" s="53"/>
      <c r="E551" s="53"/>
      <c r="F551" s="53"/>
    </row>
    <row r="552">
      <c r="A552" s="148"/>
      <c r="B552" s="148"/>
      <c r="C552" s="53"/>
      <c r="D552" s="53"/>
      <c r="E552" s="53"/>
      <c r="F552" s="53"/>
    </row>
    <row r="553">
      <c r="A553" s="148"/>
      <c r="B553" s="148"/>
      <c r="C553" s="53"/>
      <c r="D553" s="53"/>
      <c r="E553" s="53"/>
      <c r="F553" s="53"/>
    </row>
    <row r="554">
      <c r="A554" s="148"/>
      <c r="B554" s="148"/>
      <c r="C554" s="53"/>
      <c r="D554" s="53"/>
      <c r="E554" s="53"/>
      <c r="F554" s="53"/>
    </row>
    <row r="555">
      <c r="A555" s="148"/>
      <c r="B555" s="148"/>
      <c r="C555" s="53"/>
      <c r="D555" s="53"/>
      <c r="E555" s="53"/>
      <c r="F555" s="53"/>
    </row>
    <row r="556">
      <c r="A556" s="148"/>
      <c r="B556" s="148"/>
      <c r="C556" s="53"/>
      <c r="D556" s="53"/>
      <c r="E556" s="53"/>
      <c r="F556" s="53"/>
    </row>
    <row r="557">
      <c r="A557" s="148"/>
      <c r="B557" s="148"/>
      <c r="C557" s="53"/>
      <c r="D557" s="53"/>
      <c r="E557" s="53"/>
      <c r="F557" s="53"/>
    </row>
    <row r="558">
      <c r="A558" s="148"/>
      <c r="B558" s="148"/>
      <c r="C558" s="53"/>
      <c r="D558" s="53"/>
      <c r="E558" s="53"/>
      <c r="F558" s="53"/>
    </row>
    <row r="559">
      <c r="A559" s="148"/>
      <c r="B559" s="148"/>
      <c r="C559" s="53"/>
      <c r="D559" s="53"/>
      <c r="E559" s="53"/>
      <c r="F559" s="53"/>
    </row>
    <row r="560">
      <c r="A560" s="148"/>
      <c r="B560" s="148"/>
      <c r="C560" s="53"/>
      <c r="D560" s="53"/>
      <c r="E560" s="53"/>
      <c r="F560" s="53"/>
    </row>
    <row r="561">
      <c r="A561" s="148"/>
      <c r="B561" s="148"/>
      <c r="C561" s="53"/>
      <c r="D561" s="53"/>
      <c r="E561" s="53"/>
      <c r="F561" s="53"/>
    </row>
    <row r="562">
      <c r="A562" s="148"/>
      <c r="B562" s="148"/>
      <c r="C562" s="53"/>
      <c r="D562" s="53"/>
      <c r="E562" s="53"/>
      <c r="F562" s="53"/>
    </row>
    <row r="563">
      <c r="A563" s="148"/>
      <c r="B563" s="148"/>
      <c r="C563" s="53"/>
      <c r="D563" s="53"/>
      <c r="E563" s="53"/>
      <c r="F563" s="53"/>
    </row>
    <row r="564">
      <c r="A564" s="148"/>
      <c r="B564" s="148"/>
      <c r="C564" s="53"/>
      <c r="D564" s="53"/>
      <c r="E564" s="53"/>
      <c r="F564" s="53"/>
    </row>
    <row r="565">
      <c r="A565" s="148"/>
      <c r="B565" s="148"/>
      <c r="C565" s="53"/>
      <c r="D565" s="53"/>
      <c r="E565" s="53"/>
      <c r="F565" s="53"/>
    </row>
    <row r="566">
      <c r="A566" s="148"/>
      <c r="B566" s="148"/>
      <c r="C566" s="53"/>
      <c r="D566" s="53"/>
      <c r="E566" s="53"/>
      <c r="F566" s="53"/>
    </row>
    <row r="567">
      <c r="A567" s="148"/>
      <c r="B567" s="148"/>
      <c r="C567" s="53"/>
      <c r="D567" s="53"/>
      <c r="E567" s="53"/>
      <c r="F567" s="53"/>
    </row>
    <row r="568">
      <c r="A568" s="148"/>
      <c r="B568" s="148"/>
      <c r="C568" s="53"/>
      <c r="D568" s="53"/>
      <c r="E568" s="53"/>
      <c r="F568" s="53"/>
    </row>
    <row r="569">
      <c r="A569" s="148"/>
      <c r="B569" s="148"/>
      <c r="C569" s="53"/>
      <c r="D569" s="53"/>
      <c r="E569" s="53"/>
      <c r="F569" s="53"/>
    </row>
    <row r="570">
      <c r="A570" s="148"/>
      <c r="B570" s="148"/>
      <c r="C570" s="53"/>
      <c r="D570" s="53"/>
      <c r="E570" s="53"/>
      <c r="F570" s="53"/>
    </row>
    <row r="571">
      <c r="A571" s="148"/>
      <c r="B571" s="148"/>
      <c r="C571" s="53"/>
      <c r="D571" s="53"/>
      <c r="E571" s="53"/>
      <c r="F571" s="53"/>
    </row>
    <row r="572">
      <c r="A572" s="148"/>
      <c r="B572" s="148"/>
      <c r="C572" s="53"/>
      <c r="D572" s="53"/>
      <c r="E572" s="53"/>
      <c r="F572" s="53"/>
    </row>
    <row r="573">
      <c r="A573" s="148"/>
      <c r="B573" s="148"/>
      <c r="C573" s="53"/>
      <c r="D573" s="53"/>
      <c r="E573" s="53"/>
      <c r="F573" s="53"/>
    </row>
    <row r="574">
      <c r="A574" s="148"/>
      <c r="B574" s="148"/>
      <c r="C574" s="53"/>
      <c r="D574" s="53"/>
      <c r="E574" s="53"/>
      <c r="F574" s="53"/>
    </row>
    <row r="575">
      <c r="A575" s="148"/>
      <c r="B575" s="148"/>
      <c r="C575" s="53"/>
      <c r="D575" s="53"/>
      <c r="E575" s="53"/>
      <c r="F575" s="53"/>
    </row>
    <row r="576">
      <c r="A576" s="148"/>
      <c r="B576" s="148"/>
      <c r="C576" s="53"/>
      <c r="D576" s="53"/>
      <c r="E576" s="53"/>
      <c r="F576" s="53"/>
    </row>
    <row r="577">
      <c r="A577" s="148"/>
      <c r="B577" s="148"/>
      <c r="C577" s="53"/>
      <c r="D577" s="53"/>
      <c r="E577" s="53"/>
      <c r="F577" s="53"/>
    </row>
    <row r="578">
      <c r="A578" s="148"/>
      <c r="B578" s="148"/>
      <c r="C578" s="53"/>
      <c r="D578" s="53"/>
      <c r="E578" s="53"/>
      <c r="F578" s="53"/>
    </row>
    <row r="579">
      <c r="A579" s="148"/>
      <c r="B579" s="148"/>
      <c r="C579" s="53"/>
      <c r="D579" s="53"/>
      <c r="E579" s="53"/>
      <c r="F579" s="53"/>
    </row>
    <row r="580">
      <c r="A580" s="148"/>
      <c r="B580" s="148"/>
      <c r="C580" s="53"/>
      <c r="D580" s="53"/>
      <c r="E580" s="53"/>
      <c r="F580" s="53"/>
    </row>
    <row r="581">
      <c r="A581" s="148"/>
      <c r="B581" s="148"/>
      <c r="C581" s="53"/>
      <c r="D581" s="53"/>
      <c r="E581" s="53"/>
      <c r="F581" s="53"/>
    </row>
    <row r="582">
      <c r="A582" s="148"/>
      <c r="B582" s="148"/>
      <c r="C582" s="53"/>
      <c r="D582" s="53"/>
      <c r="E582" s="53"/>
      <c r="F582" s="53"/>
    </row>
    <row r="583">
      <c r="A583" s="148"/>
      <c r="B583" s="148"/>
      <c r="C583" s="53"/>
      <c r="D583" s="53"/>
      <c r="E583" s="53"/>
      <c r="F583" s="53"/>
    </row>
    <row r="584">
      <c r="A584" s="148"/>
      <c r="B584" s="148"/>
      <c r="C584" s="53"/>
      <c r="D584" s="53"/>
      <c r="E584" s="53"/>
      <c r="F584" s="53"/>
    </row>
    <row r="585">
      <c r="A585" s="148"/>
      <c r="B585" s="148"/>
      <c r="C585" s="53"/>
      <c r="D585" s="53"/>
      <c r="E585" s="53"/>
      <c r="F585" s="53"/>
    </row>
    <row r="586">
      <c r="A586" s="148"/>
      <c r="B586" s="148"/>
      <c r="C586" s="53"/>
      <c r="D586" s="53"/>
      <c r="E586" s="53"/>
      <c r="F586" s="53"/>
    </row>
    <row r="587">
      <c r="A587" s="148"/>
      <c r="B587" s="148"/>
      <c r="C587" s="53"/>
      <c r="D587" s="53"/>
      <c r="E587" s="53"/>
      <c r="F587" s="53"/>
    </row>
    <row r="588">
      <c r="A588" s="148"/>
      <c r="B588" s="148"/>
      <c r="C588" s="53"/>
      <c r="D588" s="53"/>
      <c r="E588" s="53"/>
      <c r="F588" s="53"/>
    </row>
    <row r="589">
      <c r="A589" s="148"/>
      <c r="B589" s="148"/>
      <c r="C589" s="53"/>
      <c r="D589" s="53"/>
      <c r="E589" s="53"/>
      <c r="F589" s="53"/>
    </row>
    <row r="590">
      <c r="A590" s="148"/>
      <c r="B590" s="148"/>
      <c r="C590" s="53"/>
      <c r="D590" s="53"/>
      <c r="E590" s="53"/>
      <c r="F590" s="53"/>
    </row>
    <row r="591">
      <c r="A591" s="148"/>
      <c r="B591" s="148"/>
      <c r="C591" s="53"/>
      <c r="D591" s="53"/>
      <c r="E591" s="53"/>
      <c r="F591" s="53"/>
    </row>
    <row r="592">
      <c r="A592" s="148"/>
      <c r="B592" s="148"/>
      <c r="C592" s="53"/>
      <c r="D592" s="53"/>
      <c r="E592" s="53"/>
      <c r="F592" s="53"/>
    </row>
    <row r="593">
      <c r="A593" s="148"/>
      <c r="B593" s="148"/>
      <c r="C593" s="53"/>
      <c r="D593" s="53"/>
      <c r="E593" s="53"/>
      <c r="F593" s="53"/>
    </row>
    <row r="594">
      <c r="A594" s="148"/>
      <c r="B594" s="148"/>
      <c r="C594" s="53"/>
      <c r="D594" s="53"/>
      <c r="E594" s="53"/>
      <c r="F594" s="53"/>
    </row>
    <row r="595">
      <c r="A595" s="148"/>
      <c r="B595" s="148"/>
      <c r="C595" s="53"/>
      <c r="D595" s="53"/>
      <c r="E595" s="53"/>
      <c r="F595" s="53"/>
    </row>
    <row r="596">
      <c r="A596" s="148"/>
      <c r="B596" s="148"/>
      <c r="C596" s="53"/>
      <c r="D596" s="53"/>
      <c r="E596" s="53"/>
      <c r="F596" s="53"/>
    </row>
    <row r="597">
      <c r="A597" s="148"/>
      <c r="B597" s="148"/>
      <c r="C597" s="53"/>
      <c r="D597" s="53"/>
      <c r="E597" s="53"/>
      <c r="F597" s="53"/>
    </row>
    <row r="598">
      <c r="A598" s="148"/>
      <c r="B598" s="148"/>
      <c r="C598" s="53"/>
      <c r="D598" s="53"/>
      <c r="E598" s="53"/>
      <c r="F598" s="53"/>
    </row>
    <row r="599">
      <c r="A599" s="148"/>
      <c r="B599" s="148"/>
      <c r="C599" s="53"/>
      <c r="D599" s="53"/>
      <c r="E599" s="53"/>
      <c r="F599" s="53"/>
    </row>
    <row r="600">
      <c r="A600" s="148"/>
      <c r="B600" s="148"/>
      <c r="C600" s="53"/>
      <c r="D600" s="53"/>
      <c r="E600" s="53"/>
      <c r="F600" s="53"/>
    </row>
    <row r="601">
      <c r="A601" s="148"/>
      <c r="B601" s="148"/>
      <c r="C601" s="53"/>
      <c r="D601" s="53"/>
      <c r="E601" s="53"/>
      <c r="F601" s="53"/>
    </row>
    <row r="602">
      <c r="A602" s="148"/>
      <c r="B602" s="148"/>
      <c r="C602" s="53"/>
      <c r="D602" s="53"/>
      <c r="E602" s="53"/>
      <c r="F602" s="53"/>
    </row>
    <row r="603">
      <c r="A603" s="148"/>
      <c r="B603" s="148"/>
      <c r="C603" s="53"/>
      <c r="D603" s="53"/>
      <c r="E603" s="53"/>
      <c r="F603" s="53"/>
    </row>
    <row r="604">
      <c r="A604" s="148"/>
      <c r="B604" s="148"/>
      <c r="C604" s="53"/>
      <c r="D604" s="53"/>
      <c r="E604" s="53"/>
      <c r="F604" s="53"/>
    </row>
    <row r="605">
      <c r="A605" s="148"/>
      <c r="B605" s="148"/>
      <c r="C605" s="53"/>
      <c r="D605" s="53"/>
      <c r="E605" s="53"/>
      <c r="F605" s="53"/>
    </row>
    <row r="606">
      <c r="A606" s="148"/>
      <c r="B606" s="148"/>
      <c r="C606" s="53"/>
      <c r="D606" s="53"/>
      <c r="E606" s="53"/>
      <c r="F606" s="53"/>
    </row>
    <row r="607">
      <c r="A607" s="148"/>
      <c r="B607" s="148"/>
      <c r="C607" s="53"/>
      <c r="D607" s="53"/>
      <c r="E607" s="53"/>
      <c r="F607" s="53"/>
    </row>
    <row r="608">
      <c r="A608" s="148"/>
      <c r="B608" s="148"/>
      <c r="C608" s="53"/>
      <c r="D608" s="53"/>
      <c r="E608" s="53"/>
      <c r="F608" s="53"/>
    </row>
    <row r="609">
      <c r="A609" s="148"/>
      <c r="B609" s="148"/>
      <c r="C609" s="53"/>
      <c r="D609" s="53"/>
      <c r="E609" s="53"/>
      <c r="F609" s="53"/>
    </row>
    <row r="610">
      <c r="A610" s="148"/>
      <c r="B610" s="148"/>
      <c r="C610" s="53"/>
      <c r="D610" s="53"/>
      <c r="E610" s="53"/>
      <c r="F610" s="53"/>
    </row>
    <row r="611">
      <c r="A611" s="148"/>
      <c r="B611" s="148"/>
      <c r="C611" s="53"/>
      <c r="D611" s="53"/>
      <c r="E611" s="53"/>
      <c r="F611" s="53"/>
    </row>
    <row r="612">
      <c r="A612" s="148"/>
      <c r="B612" s="148"/>
      <c r="C612" s="53"/>
      <c r="D612" s="53"/>
      <c r="E612" s="53"/>
      <c r="F612" s="53"/>
    </row>
    <row r="613">
      <c r="A613" s="148"/>
      <c r="B613" s="148"/>
      <c r="C613" s="53"/>
      <c r="D613" s="53"/>
      <c r="E613" s="53"/>
      <c r="F613" s="53"/>
    </row>
    <row r="614">
      <c r="A614" s="148"/>
      <c r="B614" s="148"/>
      <c r="C614" s="53"/>
      <c r="D614" s="53"/>
      <c r="E614" s="53"/>
      <c r="F614" s="53"/>
    </row>
    <row r="615">
      <c r="A615" s="148"/>
      <c r="B615" s="148"/>
      <c r="C615" s="53"/>
      <c r="D615" s="53"/>
      <c r="E615" s="53"/>
      <c r="F615" s="53"/>
    </row>
    <row r="616">
      <c r="A616" s="148"/>
      <c r="B616" s="148"/>
      <c r="C616" s="53"/>
      <c r="D616" s="53"/>
      <c r="E616" s="53"/>
      <c r="F616" s="53"/>
    </row>
    <row r="617">
      <c r="A617" s="148"/>
      <c r="B617" s="148"/>
      <c r="C617" s="53"/>
      <c r="D617" s="53"/>
      <c r="E617" s="53"/>
      <c r="F617" s="53"/>
    </row>
    <row r="618">
      <c r="A618" s="148"/>
      <c r="B618" s="148"/>
      <c r="C618" s="53"/>
      <c r="D618" s="53"/>
      <c r="E618" s="53"/>
      <c r="F618" s="53"/>
    </row>
    <row r="619">
      <c r="A619" s="148"/>
      <c r="B619" s="148"/>
      <c r="C619" s="53"/>
      <c r="D619" s="53"/>
      <c r="E619" s="53"/>
      <c r="F619" s="53"/>
    </row>
    <row r="620">
      <c r="A620" s="148"/>
      <c r="B620" s="148"/>
      <c r="C620" s="53"/>
      <c r="D620" s="53"/>
      <c r="E620" s="53"/>
      <c r="F620" s="53"/>
    </row>
    <row r="621">
      <c r="A621" s="148"/>
      <c r="B621" s="148"/>
      <c r="C621" s="53"/>
      <c r="D621" s="53"/>
      <c r="E621" s="53"/>
      <c r="F621" s="53"/>
    </row>
    <row r="622">
      <c r="A622" s="148"/>
      <c r="B622" s="148"/>
      <c r="C622" s="53"/>
      <c r="D622" s="53"/>
      <c r="E622" s="53"/>
      <c r="F622" s="53"/>
    </row>
    <row r="623">
      <c r="A623" s="148"/>
      <c r="B623" s="148"/>
      <c r="C623" s="53"/>
      <c r="D623" s="53"/>
      <c r="E623" s="53"/>
      <c r="F623" s="53"/>
    </row>
    <row r="624">
      <c r="A624" s="148"/>
      <c r="B624" s="148"/>
      <c r="C624" s="53"/>
      <c r="D624" s="53"/>
      <c r="E624" s="53"/>
      <c r="F624" s="53"/>
    </row>
    <row r="625">
      <c r="A625" s="148"/>
      <c r="B625" s="148"/>
      <c r="C625" s="53"/>
      <c r="D625" s="53"/>
      <c r="E625" s="53"/>
      <c r="F625" s="53"/>
    </row>
    <row r="626">
      <c r="A626" s="148"/>
      <c r="B626" s="148"/>
      <c r="C626" s="53"/>
      <c r="D626" s="53"/>
      <c r="E626" s="53"/>
      <c r="F626" s="53"/>
    </row>
    <row r="627">
      <c r="A627" s="148"/>
      <c r="B627" s="148"/>
      <c r="C627" s="53"/>
      <c r="D627" s="53"/>
      <c r="E627" s="53"/>
      <c r="F627" s="53"/>
    </row>
    <row r="628">
      <c r="A628" s="148"/>
      <c r="B628" s="148"/>
      <c r="C628" s="53"/>
      <c r="D628" s="53"/>
      <c r="E628" s="53"/>
      <c r="F628" s="53"/>
    </row>
    <row r="629">
      <c r="A629" s="148"/>
      <c r="B629" s="148"/>
      <c r="C629" s="53"/>
      <c r="D629" s="53"/>
      <c r="E629" s="53"/>
      <c r="F629" s="53"/>
    </row>
    <row r="630">
      <c r="A630" s="148"/>
      <c r="B630" s="148"/>
      <c r="C630" s="53"/>
      <c r="D630" s="53"/>
      <c r="E630" s="53"/>
      <c r="F630" s="53"/>
    </row>
    <row r="631">
      <c r="A631" s="148"/>
      <c r="B631" s="148"/>
      <c r="C631" s="53"/>
      <c r="D631" s="53"/>
      <c r="E631" s="53"/>
      <c r="F631" s="53"/>
    </row>
    <row r="632">
      <c r="A632" s="148"/>
      <c r="B632" s="148"/>
      <c r="C632" s="53"/>
      <c r="D632" s="53"/>
      <c r="E632" s="53"/>
      <c r="F632" s="53"/>
    </row>
    <row r="633">
      <c r="A633" s="148"/>
      <c r="B633" s="148"/>
      <c r="C633" s="53"/>
      <c r="D633" s="53"/>
      <c r="E633" s="53"/>
      <c r="F633" s="53"/>
    </row>
    <row r="634">
      <c r="A634" s="148"/>
      <c r="B634" s="148"/>
      <c r="C634" s="53"/>
      <c r="D634" s="53"/>
      <c r="E634" s="53"/>
      <c r="F634" s="53"/>
    </row>
    <row r="635">
      <c r="A635" s="148"/>
      <c r="B635" s="148"/>
      <c r="C635" s="53"/>
      <c r="D635" s="53"/>
      <c r="E635" s="53"/>
      <c r="F635" s="53"/>
    </row>
    <row r="636">
      <c r="A636" s="148"/>
      <c r="B636" s="148"/>
      <c r="C636" s="53"/>
      <c r="D636" s="53"/>
      <c r="E636" s="53"/>
      <c r="F636" s="53"/>
    </row>
    <row r="637">
      <c r="A637" s="148"/>
      <c r="B637" s="148"/>
      <c r="C637" s="53"/>
      <c r="D637" s="53"/>
      <c r="E637" s="53"/>
      <c r="F637" s="53"/>
    </row>
    <row r="638">
      <c r="A638" s="148"/>
      <c r="B638" s="148"/>
      <c r="C638" s="53"/>
      <c r="D638" s="53"/>
      <c r="E638" s="53"/>
      <c r="F638" s="53"/>
    </row>
    <row r="639">
      <c r="A639" s="148"/>
      <c r="B639" s="148"/>
      <c r="C639" s="53"/>
      <c r="D639" s="53"/>
      <c r="E639" s="53"/>
      <c r="F639" s="53"/>
    </row>
    <row r="640">
      <c r="A640" s="148"/>
      <c r="B640" s="148"/>
      <c r="C640" s="53"/>
      <c r="D640" s="53"/>
      <c r="E640" s="53"/>
      <c r="F640" s="53"/>
    </row>
    <row r="641">
      <c r="A641" s="148"/>
      <c r="B641" s="148"/>
      <c r="C641" s="53"/>
      <c r="D641" s="53"/>
      <c r="E641" s="53"/>
      <c r="F641" s="53"/>
    </row>
    <row r="642">
      <c r="A642" s="148"/>
      <c r="B642" s="148"/>
      <c r="C642" s="53"/>
      <c r="D642" s="53"/>
      <c r="E642" s="53"/>
      <c r="F642" s="53"/>
    </row>
    <row r="643">
      <c r="A643" s="148"/>
      <c r="B643" s="148"/>
      <c r="C643" s="53"/>
      <c r="D643" s="53"/>
      <c r="E643" s="53"/>
      <c r="F643" s="53"/>
    </row>
    <row r="644">
      <c r="A644" s="148"/>
      <c r="B644" s="148"/>
      <c r="C644" s="53"/>
      <c r="D644" s="53"/>
      <c r="E644" s="53"/>
      <c r="F644" s="53"/>
    </row>
    <row r="645">
      <c r="A645" s="148"/>
      <c r="B645" s="148"/>
      <c r="C645" s="53"/>
      <c r="D645" s="53"/>
      <c r="E645" s="53"/>
      <c r="F645" s="53"/>
    </row>
    <row r="646">
      <c r="A646" s="148"/>
      <c r="B646" s="148"/>
      <c r="C646" s="53"/>
      <c r="D646" s="53"/>
      <c r="E646" s="53"/>
      <c r="F646" s="53"/>
    </row>
    <row r="647">
      <c r="A647" s="148"/>
      <c r="B647" s="148"/>
      <c r="C647" s="53"/>
      <c r="D647" s="53"/>
      <c r="E647" s="53"/>
      <c r="F647" s="53"/>
    </row>
    <row r="648">
      <c r="A648" s="148"/>
      <c r="B648" s="148"/>
      <c r="C648" s="53"/>
      <c r="D648" s="53"/>
      <c r="E648" s="53"/>
      <c r="F648" s="53"/>
    </row>
    <row r="649">
      <c r="A649" s="148"/>
      <c r="B649" s="148"/>
      <c r="C649" s="53"/>
      <c r="D649" s="53"/>
      <c r="E649" s="53"/>
      <c r="F649" s="53"/>
    </row>
    <row r="650">
      <c r="A650" s="148"/>
      <c r="B650" s="148"/>
      <c r="C650" s="53"/>
      <c r="D650" s="53"/>
      <c r="E650" s="53"/>
      <c r="F650" s="53"/>
    </row>
    <row r="651">
      <c r="A651" s="148"/>
      <c r="B651" s="148"/>
      <c r="C651" s="53"/>
      <c r="D651" s="53"/>
      <c r="E651" s="53"/>
      <c r="F651" s="53"/>
    </row>
    <row r="652">
      <c r="A652" s="148"/>
      <c r="B652" s="148"/>
      <c r="C652" s="53"/>
      <c r="D652" s="53"/>
      <c r="E652" s="53"/>
      <c r="F652" s="53"/>
    </row>
    <row r="653">
      <c r="A653" s="148"/>
      <c r="B653" s="148"/>
      <c r="C653" s="53"/>
      <c r="D653" s="53"/>
      <c r="E653" s="53"/>
      <c r="F653" s="53"/>
    </row>
    <row r="654">
      <c r="A654" s="148"/>
      <c r="B654" s="148"/>
      <c r="C654" s="53"/>
      <c r="D654" s="53"/>
      <c r="E654" s="53"/>
      <c r="F654" s="53"/>
    </row>
    <row r="655">
      <c r="A655" s="148"/>
      <c r="B655" s="148"/>
      <c r="C655" s="53"/>
      <c r="D655" s="53"/>
      <c r="E655" s="53"/>
      <c r="F655" s="53"/>
    </row>
    <row r="656">
      <c r="A656" s="148"/>
      <c r="B656" s="148"/>
      <c r="C656" s="53"/>
      <c r="D656" s="53"/>
      <c r="E656" s="53"/>
      <c r="F656" s="53"/>
    </row>
    <row r="657">
      <c r="A657" s="148"/>
      <c r="B657" s="148"/>
      <c r="C657" s="53"/>
      <c r="D657" s="53"/>
      <c r="E657" s="53"/>
      <c r="F657" s="53"/>
    </row>
    <row r="658">
      <c r="A658" s="148"/>
      <c r="B658" s="148"/>
      <c r="C658" s="53"/>
      <c r="D658" s="53"/>
      <c r="E658" s="53"/>
      <c r="F658" s="53"/>
    </row>
    <row r="659">
      <c r="A659" s="148"/>
      <c r="B659" s="148"/>
      <c r="C659" s="53"/>
      <c r="D659" s="53"/>
      <c r="E659" s="53"/>
      <c r="F659" s="53"/>
    </row>
    <row r="660">
      <c r="A660" s="148"/>
      <c r="B660" s="148"/>
      <c r="C660" s="53"/>
      <c r="D660" s="53"/>
      <c r="E660" s="53"/>
      <c r="F660" s="53"/>
    </row>
    <row r="661">
      <c r="A661" s="148"/>
      <c r="B661" s="148"/>
      <c r="C661" s="53"/>
      <c r="D661" s="53"/>
      <c r="E661" s="53"/>
      <c r="F661" s="53"/>
    </row>
    <row r="662">
      <c r="A662" s="148"/>
      <c r="B662" s="148"/>
      <c r="C662" s="53"/>
      <c r="D662" s="53"/>
      <c r="E662" s="53"/>
      <c r="F662" s="53"/>
    </row>
    <row r="663">
      <c r="A663" s="148"/>
      <c r="B663" s="148"/>
      <c r="C663" s="53"/>
      <c r="D663" s="53"/>
      <c r="E663" s="53"/>
      <c r="F663" s="53"/>
    </row>
    <row r="664">
      <c r="A664" s="148"/>
      <c r="B664" s="148"/>
      <c r="C664" s="53"/>
      <c r="D664" s="53"/>
      <c r="E664" s="53"/>
      <c r="F664" s="53"/>
    </row>
    <row r="665">
      <c r="A665" s="148"/>
      <c r="B665" s="148"/>
      <c r="C665" s="53"/>
      <c r="D665" s="53"/>
      <c r="E665" s="53"/>
      <c r="F665" s="53"/>
    </row>
    <row r="666">
      <c r="A666" s="148"/>
      <c r="B666" s="148"/>
      <c r="C666" s="53"/>
      <c r="D666" s="53"/>
      <c r="E666" s="53"/>
      <c r="F666" s="53"/>
    </row>
    <row r="667">
      <c r="A667" s="148"/>
      <c r="B667" s="148"/>
      <c r="C667" s="53"/>
      <c r="D667" s="53"/>
      <c r="E667" s="53"/>
      <c r="F667" s="53"/>
    </row>
    <row r="668">
      <c r="A668" s="148"/>
      <c r="B668" s="148"/>
      <c r="C668" s="53"/>
      <c r="D668" s="53"/>
      <c r="E668" s="53"/>
      <c r="F668" s="53"/>
    </row>
    <row r="669">
      <c r="A669" s="148"/>
      <c r="B669" s="148"/>
      <c r="C669" s="53"/>
      <c r="D669" s="53"/>
      <c r="E669" s="53"/>
      <c r="F669" s="53"/>
    </row>
    <row r="670">
      <c r="A670" s="148"/>
      <c r="B670" s="148"/>
      <c r="C670" s="53"/>
      <c r="D670" s="53"/>
      <c r="E670" s="53"/>
      <c r="F670" s="53"/>
    </row>
    <row r="671">
      <c r="A671" s="148"/>
      <c r="B671" s="148"/>
      <c r="C671" s="53"/>
      <c r="D671" s="53"/>
      <c r="E671" s="53"/>
      <c r="F671" s="53"/>
    </row>
    <row r="672">
      <c r="A672" s="148"/>
      <c r="B672" s="148"/>
      <c r="C672" s="53"/>
      <c r="D672" s="53"/>
      <c r="E672" s="53"/>
      <c r="F672" s="53"/>
    </row>
    <row r="673">
      <c r="A673" s="148"/>
      <c r="B673" s="148"/>
      <c r="C673" s="53"/>
      <c r="D673" s="53"/>
      <c r="E673" s="53"/>
      <c r="F673" s="53"/>
    </row>
    <row r="674">
      <c r="A674" s="148"/>
      <c r="B674" s="148"/>
      <c r="C674" s="53"/>
      <c r="D674" s="53"/>
      <c r="E674" s="53"/>
      <c r="F674" s="53"/>
    </row>
    <row r="675">
      <c r="A675" s="148"/>
      <c r="B675" s="148"/>
      <c r="C675" s="53"/>
      <c r="D675" s="53"/>
      <c r="E675" s="53"/>
      <c r="F675" s="53"/>
    </row>
    <row r="676">
      <c r="A676" s="148"/>
      <c r="B676" s="148"/>
      <c r="C676" s="53"/>
      <c r="D676" s="53"/>
      <c r="E676" s="53"/>
      <c r="F676" s="53"/>
    </row>
    <row r="677">
      <c r="A677" s="148"/>
      <c r="B677" s="148"/>
      <c r="C677" s="53"/>
      <c r="D677" s="53"/>
      <c r="E677" s="53"/>
      <c r="F677" s="53"/>
    </row>
    <row r="678">
      <c r="A678" s="148"/>
      <c r="B678" s="148"/>
      <c r="C678" s="53"/>
      <c r="D678" s="53"/>
      <c r="E678" s="53"/>
      <c r="F678" s="53"/>
    </row>
    <row r="679">
      <c r="A679" s="148"/>
      <c r="B679" s="148"/>
      <c r="C679" s="53"/>
      <c r="D679" s="53"/>
      <c r="E679" s="53"/>
      <c r="F679" s="53"/>
    </row>
    <row r="680">
      <c r="A680" s="148"/>
      <c r="B680" s="148"/>
      <c r="C680" s="53"/>
      <c r="D680" s="53"/>
      <c r="E680" s="53"/>
      <c r="F680" s="53"/>
    </row>
    <row r="681">
      <c r="A681" s="148"/>
      <c r="B681" s="148"/>
      <c r="C681" s="53"/>
      <c r="D681" s="53"/>
      <c r="E681" s="53"/>
      <c r="F681" s="53"/>
    </row>
    <row r="682">
      <c r="A682" s="148"/>
      <c r="B682" s="148"/>
      <c r="C682" s="53"/>
      <c r="D682" s="53"/>
      <c r="E682" s="53"/>
      <c r="F682" s="53"/>
    </row>
    <row r="683">
      <c r="A683" s="148"/>
      <c r="B683" s="148"/>
      <c r="C683" s="53"/>
      <c r="D683" s="53"/>
      <c r="E683" s="53"/>
      <c r="F683" s="53"/>
    </row>
    <row r="684">
      <c r="A684" s="148"/>
      <c r="B684" s="148"/>
      <c r="C684" s="53"/>
      <c r="D684" s="53"/>
      <c r="E684" s="53"/>
      <c r="F684" s="53"/>
    </row>
    <row r="685">
      <c r="A685" s="148"/>
      <c r="B685" s="148"/>
      <c r="C685" s="53"/>
      <c r="D685" s="53"/>
      <c r="E685" s="53"/>
      <c r="F685" s="53"/>
    </row>
    <row r="686">
      <c r="A686" s="148"/>
      <c r="B686" s="148"/>
      <c r="C686" s="53"/>
      <c r="D686" s="53"/>
      <c r="E686" s="53"/>
      <c r="F686" s="53"/>
    </row>
    <row r="687">
      <c r="A687" s="148"/>
      <c r="B687" s="148"/>
      <c r="C687" s="53"/>
      <c r="D687" s="53"/>
      <c r="E687" s="53"/>
      <c r="F687" s="53"/>
    </row>
    <row r="688">
      <c r="A688" s="148"/>
      <c r="B688" s="148"/>
      <c r="C688" s="53"/>
      <c r="D688" s="53"/>
      <c r="E688" s="53"/>
      <c r="F688" s="53"/>
    </row>
    <row r="689">
      <c r="A689" s="148"/>
      <c r="B689" s="148"/>
      <c r="C689" s="53"/>
      <c r="D689" s="53"/>
      <c r="E689" s="53"/>
      <c r="F689" s="53"/>
    </row>
    <row r="690">
      <c r="A690" s="148"/>
      <c r="B690" s="148"/>
      <c r="C690" s="53"/>
      <c r="D690" s="53"/>
      <c r="E690" s="53"/>
      <c r="F690" s="53"/>
    </row>
    <row r="691">
      <c r="A691" s="148"/>
      <c r="B691" s="148"/>
      <c r="C691" s="53"/>
      <c r="D691" s="53"/>
      <c r="E691" s="53"/>
      <c r="F691" s="53"/>
    </row>
    <row r="692">
      <c r="A692" s="148"/>
      <c r="B692" s="148"/>
      <c r="C692" s="53"/>
      <c r="D692" s="53"/>
      <c r="E692" s="53"/>
      <c r="F692" s="53"/>
    </row>
    <row r="693">
      <c r="A693" s="148"/>
      <c r="B693" s="148"/>
      <c r="C693" s="53"/>
      <c r="D693" s="53"/>
      <c r="E693" s="53"/>
      <c r="F693" s="53"/>
    </row>
    <row r="694">
      <c r="A694" s="148"/>
      <c r="B694" s="148"/>
      <c r="C694" s="53"/>
      <c r="D694" s="53"/>
      <c r="E694" s="53"/>
      <c r="F694" s="53"/>
    </row>
    <row r="695">
      <c r="A695" s="148"/>
      <c r="B695" s="148"/>
      <c r="C695" s="53"/>
      <c r="D695" s="53"/>
      <c r="E695" s="53"/>
      <c r="F695" s="53"/>
    </row>
    <row r="696">
      <c r="A696" s="148"/>
      <c r="B696" s="148"/>
      <c r="C696" s="53"/>
      <c r="D696" s="53"/>
      <c r="E696" s="53"/>
      <c r="F696" s="53"/>
    </row>
    <row r="697">
      <c r="A697" s="148"/>
      <c r="B697" s="148"/>
      <c r="C697" s="53"/>
      <c r="D697" s="53"/>
      <c r="E697" s="53"/>
      <c r="F697" s="53"/>
    </row>
    <row r="698">
      <c r="A698" s="148"/>
      <c r="B698" s="148"/>
      <c r="C698" s="53"/>
      <c r="D698" s="53"/>
      <c r="E698" s="53"/>
      <c r="F698" s="53"/>
    </row>
    <row r="699">
      <c r="A699" s="148"/>
      <c r="B699" s="148"/>
      <c r="C699" s="53"/>
      <c r="D699" s="53"/>
      <c r="E699" s="53"/>
      <c r="F699" s="53"/>
    </row>
    <row r="700">
      <c r="A700" s="148"/>
      <c r="B700" s="148"/>
      <c r="C700" s="53"/>
      <c r="D700" s="53"/>
      <c r="E700" s="53"/>
      <c r="F700" s="53"/>
    </row>
    <row r="701">
      <c r="A701" s="148"/>
      <c r="B701" s="148"/>
      <c r="C701" s="53"/>
      <c r="D701" s="53"/>
      <c r="E701" s="53"/>
      <c r="F701" s="53"/>
    </row>
    <row r="702">
      <c r="A702" s="148"/>
      <c r="B702" s="148"/>
      <c r="C702" s="53"/>
      <c r="D702" s="53"/>
      <c r="E702" s="53"/>
      <c r="F702" s="53"/>
    </row>
    <row r="703">
      <c r="A703" s="148"/>
      <c r="B703" s="148"/>
      <c r="C703" s="53"/>
      <c r="D703" s="53"/>
      <c r="E703" s="53"/>
      <c r="F703" s="53"/>
    </row>
    <row r="704">
      <c r="A704" s="148"/>
      <c r="B704" s="148"/>
      <c r="C704" s="53"/>
      <c r="D704" s="53"/>
      <c r="E704" s="53"/>
      <c r="F704" s="53"/>
    </row>
    <row r="705">
      <c r="A705" s="148"/>
      <c r="B705" s="148"/>
      <c r="C705" s="53"/>
      <c r="D705" s="53"/>
      <c r="E705" s="53"/>
      <c r="F705" s="53"/>
    </row>
    <row r="706">
      <c r="A706" s="148"/>
      <c r="B706" s="148"/>
      <c r="C706" s="53"/>
      <c r="D706" s="53"/>
      <c r="E706" s="53"/>
      <c r="F706" s="53"/>
    </row>
    <row r="707">
      <c r="A707" s="148"/>
      <c r="B707" s="148"/>
      <c r="C707" s="53"/>
      <c r="D707" s="53"/>
      <c r="E707" s="53"/>
      <c r="F707" s="53"/>
    </row>
    <row r="708">
      <c r="A708" s="148"/>
      <c r="B708" s="148"/>
      <c r="C708" s="53"/>
      <c r="D708" s="53"/>
      <c r="E708" s="53"/>
      <c r="F708" s="53"/>
    </row>
    <row r="709">
      <c r="A709" s="148"/>
      <c r="B709" s="148"/>
      <c r="C709" s="53"/>
      <c r="D709" s="53"/>
      <c r="E709" s="53"/>
      <c r="F709" s="53"/>
    </row>
    <row r="710">
      <c r="A710" s="148"/>
      <c r="B710" s="148"/>
      <c r="C710" s="53"/>
      <c r="D710" s="53"/>
      <c r="E710" s="53"/>
      <c r="F710" s="53"/>
    </row>
    <row r="711">
      <c r="A711" s="148"/>
      <c r="B711" s="148"/>
      <c r="C711" s="53"/>
      <c r="D711" s="53"/>
      <c r="E711" s="53"/>
      <c r="F711" s="53"/>
    </row>
    <row r="712">
      <c r="A712" s="148"/>
      <c r="B712" s="148"/>
      <c r="C712" s="53"/>
      <c r="D712" s="53"/>
      <c r="E712" s="53"/>
      <c r="F712" s="53"/>
    </row>
    <row r="713">
      <c r="A713" s="148"/>
      <c r="B713" s="148"/>
      <c r="C713" s="53"/>
      <c r="D713" s="53"/>
      <c r="E713" s="53"/>
      <c r="F713" s="53"/>
    </row>
    <row r="714">
      <c r="A714" s="148"/>
      <c r="B714" s="148"/>
      <c r="C714" s="53"/>
      <c r="D714" s="53"/>
      <c r="E714" s="53"/>
      <c r="F714" s="53"/>
    </row>
    <row r="715">
      <c r="A715" s="148"/>
      <c r="B715" s="148"/>
      <c r="C715" s="53"/>
      <c r="D715" s="53"/>
      <c r="E715" s="53"/>
      <c r="F715" s="53"/>
    </row>
    <row r="716">
      <c r="A716" s="148"/>
      <c r="B716" s="148"/>
      <c r="C716" s="53"/>
      <c r="D716" s="53"/>
      <c r="E716" s="53"/>
      <c r="F716" s="53"/>
    </row>
    <row r="717">
      <c r="A717" s="148"/>
      <c r="B717" s="148"/>
      <c r="C717" s="53"/>
      <c r="D717" s="53"/>
      <c r="E717" s="53"/>
      <c r="F717" s="53"/>
    </row>
    <row r="718">
      <c r="A718" s="148"/>
      <c r="B718" s="148"/>
      <c r="C718" s="53"/>
      <c r="D718" s="53"/>
      <c r="E718" s="53"/>
      <c r="F718" s="53"/>
    </row>
    <row r="719">
      <c r="A719" s="148"/>
      <c r="B719" s="148"/>
      <c r="C719" s="53"/>
      <c r="D719" s="53"/>
      <c r="E719" s="53"/>
      <c r="F719" s="53"/>
    </row>
    <row r="720">
      <c r="A720" s="148"/>
      <c r="B720" s="148"/>
      <c r="C720" s="53"/>
      <c r="D720" s="53"/>
      <c r="E720" s="53"/>
      <c r="F720" s="53"/>
    </row>
    <row r="721">
      <c r="A721" s="148"/>
      <c r="B721" s="148"/>
      <c r="C721" s="53"/>
      <c r="D721" s="53"/>
      <c r="E721" s="53"/>
      <c r="F721" s="53"/>
    </row>
    <row r="722">
      <c r="A722" s="148"/>
      <c r="B722" s="148"/>
      <c r="C722" s="53"/>
      <c r="D722" s="53"/>
      <c r="E722" s="53"/>
      <c r="F722" s="53"/>
    </row>
    <row r="723">
      <c r="A723" s="148"/>
      <c r="B723" s="148"/>
      <c r="C723" s="53"/>
      <c r="D723" s="53"/>
      <c r="E723" s="53"/>
      <c r="F723" s="53"/>
    </row>
    <row r="724">
      <c r="A724" s="148"/>
      <c r="B724" s="148"/>
      <c r="C724" s="53"/>
      <c r="D724" s="53"/>
      <c r="E724" s="53"/>
      <c r="F724" s="53"/>
    </row>
    <row r="725">
      <c r="A725" s="148"/>
      <c r="B725" s="148"/>
      <c r="C725" s="53"/>
      <c r="D725" s="53"/>
      <c r="E725" s="53"/>
      <c r="F725" s="53"/>
    </row>
    <row r="726">
      <c r="A726" s="148"/>
      <c r="B726" s="148"/>
      <c r="C726" s="53"/>
      <c r="D726" s="53"/>
      <c r="E726" s="53"/>
      <c r="F726" s="53"/>
    </row>
    <row r="727">
      <c r="A727" s="148"/>
      <c r="B727" s="148"/>
      <c r="C727" s="53"/>
      <c r="D727" s="53"/>
      <c r="E727" s="53"/>
      <c r="F727" s="53"/>
    </row>
    <row r="728">
      <c r="A728" s="148"/>
      <c r="B728" s="148"/>
      <c r="C728" s="53"/>
      <c r="D728" s="53"/>
      <c r="E728" s="53"/>
      <c r="F728" s="53"/>
    </row>
    <row r="729">
      <c r="A729" s="148"/>
      <c r="B729" s="148"/>
      <c r="C729" s="53"/>
      <c r="D729" s="53"/>
      <c r="E729" s="53"/>
      <c r="F729" s="53"/>
    </row>
    <row r="730">
      <c r="A730" s="148"/>
      <c r="B730" s="148"/>
      <c r="C730" s="53"/>
      <c r="D730" s="53"/>
      <c r="E730" s="53"/>
      <c r="F730" s="53"/>
    </row>
    <row r="731">
      <c r="A731" s="148"/>
      <c r="B731" s="148"/>
      <c r="C731" s="53"/>
      <c r="D731" s="53"/>
      <c r="E731" s="53"/>
      <c r="F731" s="53"/>
    </row>
    <row r="732">
      <c r="A732" s="148"/>
      <c r="B732" s="148"/>
      <c r="C732" s="53"/>
      <c r="D732" s="53"/>
      <c r="E732" s="53"/>
      <c r="F732" s="53"/>
    </row>
    <row r="733">
      <c r="A733" s="148"/>
      <c r="B733" s="148"/>
      <c r="C733" s="53"/>
      <c r="D733" s="53"/>
      <c r="E733" s="53"/>
      <c r="F733" s="53"/>
    </row>
    <row r="734">
      <c r="A734" s="148"/>
      <c r="B734" s="148"/>
      <c r="C734" s="53"/>
      <c r="D734" s="53"/>
      <c r="E734" s="53"/>
      <c r="F734" s="53"/>
    </row>
    <row r="735">
      <c r="A735" s="148"/>
      <c r="B735" s="148"/>
      <c r="C735" s="53"/>
      <c r="D735" s="53"/>
      <c r="E735" s="53"/>
      <c r="F735" s="53"/>
    </row>
    <row r="736">
      <c r="A736" s="148"/>
      <c r="B736" s="148"/>
      <c r="C736" s="53"/>
      <c r="D736" s="53"/>
      <c r="E736" s="53"/>
      <c r="F736" s="53"/>
    </row>
    <row r="737">
      <c r="A737" s="148"/>
      <c r="B737" s="148"/>
      <c r="C737" s="53"/>
      <c r="D737" s="53"/>
      <c r="E737" s="53"/>
      <c r="F737" s="53"/>
    </row>
    <row r="738">
      <c r="A738" s="148"/>
      <c r="B738" s="148"/>
      <c r="C738" s="53"/>
      <c r="D738" s="53"/>
      <c r="E738" s="53"/>
      <c r="F738" s="53"/>
    </row>
    <row r="739">
      <c r="A739" s="148"/>
      <c r="B739" s="148"/>
      <c r="C739" s="53"/>
      <c r="D739" s="53"/>
      <c r="E739" s="53"/>
      <c r="F739" s="53"/>
    </row>
    <row r="740">
      <c r="A740" s="148"/>
      <c r="B740" s="148"/>
      <c r="C740" s="53"/>
      <c r="D740" s="53"/>
      <c r="E740" s="53"/>
      <c r="F740" s="53"/>
    </row>
    <row r="741">
      <c r="A741" s="148"/>
      <c r="B741" s="148"/>
      <c r="C741" s="53"/>
      <c r="D741" s="53"/>
      <c r="E741" s="53"/>
      <c r="F741" s="53"/>
    </row>
    <row r="742">
      <c r="A742" s="148"/>
      <c r="B742" s="148"/>
      <c r="C742" s="53"/>
      <c r="D742" s="53"/>
      <c r="E742" s="53"/>
      <c r="F742" s="53"/>
    </row>
    <row r="743">
      <c r="A743" s="148"/>
      <c r="B743" s="148"/>
      <c r="C743" s="53"/>
      <c r="D743" s="53"/>
      <c r="E743" s="53"/>
      <c r="F743" s="53"/>
    </row>
    <row r="744">
      <c r="A744" s="148"/>
      <c r="B744" s="148"/>
      <c r="C744" s="53"/>
      <c r="D744" s="53"/>
      <c r="E744" s="53"/>
      <c r="F744" s="53"/>
    </row>
    <row r="745">
      <c r="A745" s="148"/>
      <c r="B745" s="148"/>
      <c r="C745" s="53"/>
      <c r="D745" s="53"/>
      <c r="E745" s="53"/>
      <c r="F745" s="53"/>
    </row>
    <row r="746">
      <c r="A746" s="148"/>
      <c r="B746" s="148"/>
      <c r="C746" s="53"/>
      <c r="D746" s="53"/>
      <c r="E746" s="53"/>
      <c r="F746" s="53"/>
    </row>
    <row r="747">
      <c r="A747" s="148"/>
      <c r="B747" s="148"/>
      <c r="C747" s="53"/>
      <c r="D747" s="53"/>
      <c r="E747" s="53"/>
      <c r="F747" s="53"/>
    </row>
    <row r="748">
      <c r="A748" s="148"/>
      <c r="B748" s="148"/>
      <c r="C748" s="53"/>
      <c r="D748" s="53"/>
      <c r="E748" s="53"/>
      <c r="F748" s="53"/>
    </row>
    <row r="749">
      <c r="A749" s="148"/>
      <c r="B749" s="148"/>
      <c r="C749" s="53"/>
      <c r="D749" s="53"/>
      <c r="E749" s="53"/>
      <c r="F749" s="53"/>
    </row>
    <row r="750">
      <c r="A750" s="148"/>
      <c r="B750" s="148"/>
      <c r="C750" s="53"/>
      <c r="D750" s="53"/>
      <c r="E750" s="53"/>
      <c r="F750" s="53"/>
    </row>
    <row r="751">
      <c r="A751" s="148"/>
      <c r="B751" s="148"/>
      <c r="C751" s="53"/>
      <c r="D751" s="53"/>
      <c r="E751" s="53"/>
      <c r="F751" s="53"/>
    </row>
    <row r="752">
      <c r="A752" s="148"/>
      <c r="B752" s="148"/>
      <c r="C752" s="53"/>
      <c r="D752" s="53"/>
      <c r="E752" s="53"/>
      <c r="F752" s="53"/>
    </row>
    <row r="753">
      <c r="A753" s="148"/>
      <c r="B753" s="148"/>
      <c r="C753" s="53"/>
      <c r="D753" s="53"/>
      <c r="E753" s="53"/>
      <c r="F753" s="53"/>
    </row>
    <row r="754">
      <c r="A754" s="148"/>
      <c r="B754" s="148"/>
      <c r="C754" s="53"/>
      <c r="D754" s="53"/>
      <c r="E754" s="53"/>
      <c r="F754" s="53"/>
    </row>
    <row r="755">
      <c r="A755" s="148"/>
      <c r="B755" s="148"/>
      <c r="C755" s="53"/>
      <c r="D755" s="53"/>
      <c r="E755" s="53"/>
      <c r="F755" s="53"/>
    </row>
    <row r="756">
      <c r="A756" s="148"/>
      <c r="B756" s="148"/>
      <c r="C756" s="53"/>
      <c r="D756" s="53"/>
      <c r="E756" s="53"/>
      <c r="F756" s="53"/>
    </row>
    <row r="757">
      <c r="A757" s="148"/>
      <c r="B757" s="148"/>
      <c r="C757" s="53"/>
      <c r="D757" s="53"/>
      <c r="E757" s="53"/>
      <c r="F757" s="53"/>
    </row>
    <row r="758">
      <c r="A758" s="148"/>
      <c r="B758" s="148"/>
      <c r="C758" s="53"/>
      <c r="D758" s="53"/>
      <c r="E758" s="53"/>
      <c r="F758" s="53"/>
    </row>
    <row r="759">
      <c r="A759" s="148"/>
      <c r="B759" s="148"/>
      <c r="C759" s="53"/>
      <c r="D759" s="53"/>
      <c r="E759" s="53"/>
      <c r="F759" s="53"/>
    </row>
    <row r="760">
      <c r="A760" s="148"/>
      <c r="B760" s="148"/>
      <c r="C760" s="53"/>
      <c r="D760" s="53"/>
      <c r="E760" s="53"/>
      <c r="F760" s="53"/>
    </row>
    <row r="761">
      <c r="A761" s="148"/>
      <c r="B761" s="148"/>
      <c r="C761" s="53"/>
      <c r="D761" s="53"/>
      <c r="E761" s="53"/>
      <c r="F761" s="53"/>
    </row>
    <row r="762">
      <c r="A762" s="148"/>
      <c r="B762" s="148"/>
      <c r="C762" s="53"/>
      <c r="D762" s="53"/>
      <c r="E762" s="53"/>
      <c r="F762" s="53"/>
    </row>
    <row r="763">
      <c r="A763" s="148"/>
      <c r="B763" s="148"/>
      <c r="C763" s="53"/>
      <c r="D763" s="53"/>
      <c r="E763" s="53"/>
      <c r="F763" s="53"/>
    </row>
    <row r="764">
      <c r="A764" s="148"/>
      <c r="B764" s="148"/>
      <c r="C764" s="53"/>
      <c r="D764" s="53"/>
      <c r="E764" s="53"/>
      <c r="F764" s="53"/>
    </row>
    <row r="765">
      <c r="A765" s="148"/>
      <c r="B765" s="148"/>
      <c r="C765" s="53"/>
      <c r="D765" s="53"/>
      <c r="E765" s="53"/>
      <c r="F765" s="53"/>
    </row>
    <row r="766">
      <c r="A766" s="148"/>
      <c r="B766" s="148"/>
      <c r="C766" s="53"/>
      <c r="D766" s="53"/>
      <c r="E766" s="53"/>
      <c r="F766" s="53"/>
    </row>
    <row r="767">
      <c r="A767" s="148"/>
      <c r="B767" s="148"/>
      <c r="C767" s="53"/>
      <c r="D767" s="53"/>
      <c r="E767" s="53"/>
      <c r="F767" s="53"/>
    </row>
    <row r="768">
      <c r="A768" s="148"/>
      <c r="B768" s="148"/>
      <c r="C768" s="53"/>
      <c r="D768" s="53"/>
      <c r="E768" s="53"/>
      <c r="F768" s="53"/>
    </row>
    <row r="769">
      <c r="A769" s="148"/>
      <c r="B769" s="148"/>
      <c r="C769" s="53"/>
      <c r="D769" s="53"/>
      <c r="E769" s="53"/>
      <c r="F769" s="53"/>
    </row>
    <row r="770">
      <c r="A770" s="148"/>
      <c r="B770" s="148"/>
      <c r="C770" s="53"/>
      <c r="D770" s="53"/>
      <c r="E770" s="53"/>
      <c r="F770" s="53"/>
    </row>
    <row r="771">
      <c r="A771" s="148"/>
      <c r="B771" s="148"/>
      <c r="C771" s="53"/>
      <c r="D771" s="53"/>
      <c r="E771" s="53"/>
      <c r="F771" s="53"/>
    </row>
    <row r="772">
      <c r="A772" s="148"/>
      <c r="B772" s="148"/>
      <c r="C772" s="53"/>
      <c r="D772" s="53"/>
      <c r="E772" s="53"/>
      <c r="F772" s="53"/>
    </row>
    <row r="773">
      <c r="A773" s="148"/>
      <c r="B773" s="148"/>
      <c r="C773" s="53"/>
      <c r="D773" s="53"/>
      <c r="E773" s="53"/>
      <c r="F773" s="53"/>
    </row>
    <row r="774">
      <c r="A774" s="148"/>
      <c r="B774" s="148"/>
      <c r="C774" s="53"/>
      <c r="D774" s="53"/>
      <c r="E774" s="53"/>
      <c r="F774" s="53"/>
    </row>
    <row r="775">
      <c r="A775" s="148"/>
      <c r="B775" s="148"/>
      <c r="C775" s="53"/>
      <c r="D775" s="53"/>
      <c r="E775" s="53"/>
      <c r="F775" s="53"/>
    </row>
    <row r="776">
      <c r="A776" s="148"/>
      <c r="B776" s="148"/>
      <c r="C776" s="53"/>
      <c r="D776" s="53"/>
      <c r="E776" s="53"/>
      <c r="F776" s="53"/>
    </row>
    <row r="777">
      <c r="A777" s="148"/>
      <c r="B777" s="148"/>
      <c r="C777" s="53"/>
      <c r="D777" s="53"/>
      <c r="E777" s="53"/>
      <c r="F777" s="53"/>
    </row>
    <row r="778">
      <c r="A778" s="148"/>
      <c r="B778" s="148"/>
      <c r="C778" s="53"/>
      <c r="D778" s="53"/>
      <c r="E778" s="53"/>
      <c r="F778" s="53"/>
    </row>
    <row r="779">
      <c r="A779" s="148"/>
      <c r="B779" s="148"/>
      <c r="C779" s="53"/>
      <c r="D779" s="53"/>
      <c r="E779" s="53"/>
      <c r="F779" s="53"/>
    </row>
    <row r="780">
      <c r="A780" s="148"/>
      <c r="B780" s="148"/>
      <c r="C780" s="53"/>
      <c r="D780" s="53"/>
      <c r="E780" s="53"/>
      <c r="F780" s="53"/>
    </row>
    <row r="781">
      <c r="A781" s="148"/>
      <c r="B781" s="148"/>
      <c r="C781" s="53"/>
      <c r="D781" s="53"/>
      <c r="E781" s="53"/>
      <c r="F781" s="53"/>
    </row>
    <row r="782">
      <c r="A782" s="148"/>
      <c r="B782" s="148"/>
      <c r="C782" s="53"/>
      <c r="D782" s="53"/>
      <c r="E782" s="53"/>
      <c r="F782" s="53"/>
    </row>
    <row r="783">
      <c r="A783" s="148"/>
      <c r="B783" s="148"/>
      <c r="C783" s="53"/>
      <c r="D783" s="53"/>
      <c r="E783" s="53"/>
      <c r="F783" s="53"/>
    </row>
    <row r="784">
      <c r="A784" s="148"/>
      <c r="B784" s="148"/>
      <c r="C784" s="53"/>
      <c r="D784" s="53"/>
      <c r="E784" s="53"/>
      <c r="F784" s="53"/>
    </row>
    <row r="785">
      <c r="A785" s="148"/>
      <c r="B785" s="148"/>
      <c r="C785" s="53"/>
      <c r="D785" s="53"/>
      <c r="E785" s="53"/>
      <c r="F785" s="53"/>
    </row>
    <row r="786">
      <c r="A786" s="148"/>
      <c r="B786" s="148"/>
      <c r="C786" s="53"/>
      <c r="D786" s="53"/>
      <c r="E786" s="53"/>
      <c r="F786" s="53"/>
    </row>
    <row r="787">
      <c r="A787" s="148"/>
      <c r="B787" s="148"/>
      <c r="C787" s="53"/>
      <c r="D787" s="53"/>
      <c r="E787" s="53"/>
      <c r="F787" s="53"/>
    </row>
    <row r="788">
      <c r="A788" s="148"/>
      <c r="B788" s="148"/>
      <c r="C788" s="53"/>
      <c r="D788" s="53"/>
      <c r="E788" s="53"/>
      <c r="F788" s="53"/>
    </row>
    <row r="789">
      <c r="A789" s="148"/>
      <c r="B789" s="148"/>
      <c r="C789" s="53"/>
      <c r="D789" s="53"/>
      <c r="E789" s="53"/>
      <c r="F789" s="53"/>
    </row>
    <row r="790">
      <c r="A790" s="148"/>
      <c r="B790" s="148"/>
      <c r="C790" s="53"/>
      <c r="D790" s="53"/>
      <c r="E790" s="53"/>
      <c r="F790" s="53"/>
    </row>
    <row r="791">
      <c r="A791" s="148"/>
      <c r="B791" s="148"/>
      <c r="C791" s="53"/>
      <c r="D791" s="53"/>
      <c r="E791" s="53"/>
      <c r="F791" s="53"/>
    </row>
    <row r="792">
      <c r="A792" s="148"/>
      <c r="B792" s="148"/>
      <c r="C792" s="53"/>
      <c r="D792" s="53"/>
      <c r="E792" s="53"/>
      <c r="F792" s="53"/>
    </row>
    <row r="793">
      <c r="A793" s="148"/>
      <c r="B793" s="148"/>
      <c r="C793" s="53"/>
      <c r="D793" s="53"/>
      <c r="E793" s="53"/>
      <c r="F793" s="53"/>
    </row>
    <row r="794">
      <c r="A794" s="148"/>
      <c r="B794" s="148"/>
      <c r="C794" s="53"/>
      <c r="D794" s="53"/>
      <c r="E794" s="53"/>
      <c r="F794" s="53"/>
    </row>
    <row r="795">
      <c r="A795" s="148"/>
      <c r="B795" s="148"/>
      <c r="C795" s="53"/>
      <c r="D795" s="53"/>
      <c r="E795" s="53"/>
      <c r="F795" s="53"/>
    </row>
    <row r="796">
      <c r="A796" s="148"/>
      <c r="B796" s="148"/>
      <c r="C796" s="53"/>
      <c r="D796" s="53"/>
      <c r="E796" s="53"/>
      <c r="F796" s="53"/>
    </row>
    <row r="797">
      <c r="A797" s="148"/>
      <c r="B797" s="148"/>
      <c r="C797" s="53"/>
      <c r="D797" s="53"/>
      <c r="E797" s="53"/>
      <c r="F797" s="53"/>
    </row>
    <row r="798">
      <c r="A798" s="148"/>
      <c r="B798" s="148"/>
      <c r="C798" s="53"/>
      <c r="D798" s="53"/>
      <c r="E798" s="53"/>
      <c r="F798" s="53"/>
    </row>
    <row r="799">
      <c r="A799" s="148"/>
      <c r="B799" s="148"/>
      <c r="C799" s="53"/>
      <c r="D799" s="53"/>
      <c r="E799" s="53"/>
      <c r="F799" s="53"/>
    </row>
    <row r="800">
      <c r="A800" s="148"/>
      <c r="B800" s="148"/>
      <c r="C800" s="53"/>
      <c r="D800" s="53"/>
      <c r="E800" s="53"/>
      <c r="F800" s="53"/>
    </row>
    <row r="801">
      <c r="A801" s="148"/>
      <c r="B801" s="148"/>
      <c r="C801" s="53"/>
      <c r="D801" s="53"/>
      <c r="E801" s="53"/>
      <c r="F801" s="53"/>
    </row>
    <row r="802">
      <c r="A802" s="148"/>
      <c r="B802" s="148"/>
      <c r="C802" s="53"/>
      <c r="D802" s="53"/>
      <c r="E802" s="53"/>
      <c r="F802" s="53"/>
    </row>
    <row r="803">
      <c r="A803" s="148"/>
      <c r="B803" s="148"/>
      <c r="C803" s="53"/>
      <c r="D803" s="53"/>
      <c r="E803" s="53"/>
      <c r="F803" s="53"/>
    </row>
    <row r="804">
      <c r="A804" s="148"/>
      <c r="B804" s="148"/>
      <c r="C804" s="53"/>
      <c r="D804" s="53"/>
      <c r="E804" s="53"/>
      <c r="F804" s="53"/>
    </row>
    <row r="805">
      <c r="A805" s="148"/>
      <c r="B805" s="148"/>
      <c r="C805" s="53"/>
      <c r="D805" s="53"/>
      <c r="E805" s="53"/>
      <c r="F805" s="53"/>
    </row>
    <row r="806">
      <c r="A806" s="148"/>
      <c r="B806" s="148"/>
      <c r="C806" s="53"/>
      <c r="D806" s="53"/>
      <c r="E806" s="53"/>
      <c r="F806" s="53"/>
    </row>
    <row r="807">
      <c r="A807" s="148"/>
      <c r="B807" s="148"/>
      <c r="C807" s="53"/>
      <c r="D807" s="53"/>
      <c r="E807" s="53"/>
      <c r="F807" s="53"/>
    </row>
    <row r="808">
      <c r="A808" s="148"/>
      <c r="B808" s="148"/>
      <c r="C808" s="53"/>
      <c r="D808" s="53"/>
      <c r="E808" s="53"/>
      <c r="F808" s="53"/>
    </row>
    <row r="809">
      <c r="A809" s="148"/>
      <c r="B809" s="148"/>
      <c r="C809" s="53"/>
      <c r="D809" s="53"/>
      <c r="E809" s="53"/>
      <c r="F809" s="53"/>
    </row>
    <row r="810">
      <c r="A810" s="148"/>
      <c r="B810" s="148"/>
      <c r="C810" s="53"/>
      <c r="D810" s="53"/>
      <c r="E810" s="53"/>
      <c r="F810" s="53"/>
    </row>
    <row r="811">
      <c r="A811" s="148"/>
      <c r="B811" s="148"/>
      <c r="C811" s="53"/>
      <c r="D811" s="53"/>
      <c r="E811" s="53"/>
      <c r="F811" s="53"/>
    </row>
    <row r="812">
      <c r="A812" s="148"/>
      <c r="B812" s="148"/>
      <c r="C812" s="53"/>
      <c r="D812" s="53"/>
      <c r="E812" s="53"/>
      <c r="F812" s="53"/>
    </row>
    <row r="813">
      <c r="A813" s="148"/>
      <c r="B813" s="148"/>
      <c r="C813" s="53"/>
      <c r="D813" s="53"/>
      <c r="E813" s="53"/>
      <c r="F813" s="53"/>
    </row>
    <row r="814">
      <c r="A814" s="148"/>
      <c r="B814" s="148"/>
      <c r="C814" s="53"/>
      <c r="D814" s="53"/>
      <c r="E814" s="53"/>
      <c r="F814" s="53"/>
    </row>
    <row r="815">
      <c r="A815" s="148"/>
      <c r="B815" s="148"/>
      <c r="C815" s="53"/>
      <c r="D815" s="53"/>
      <c r="E815" s="53"/>
      <c r="F815" s="53"/>
    </row>
    <row r="816">
      <c r="A816" s="148"/>
      <c r="B816" s="148"/>
      <c r="C816" s="53"/>
      <c r="D816" s="53"/>
      <c r="E816" s="53"/>
      <c r="F816" s="53"/>
    </row>
    <row r="817">
      <c r="A817" s="148"/>
      <c r="B817" s="148"/>
      <c r="C817" s="53"/>
      <c r="D817" s="53"/>
      <c r="E817" s="53"/>
      <c r="F817" s="53"/>
    </row>
    <row r="818">
      <c r="A818" s="148"/>
      <c r="B818" s="148"/>
      <c r="C818" s="53"/>
      <c r="D818" s="53"/>
      <c r="E818" s="53"/>
      <c r="F818" s="53"/>
    </row>
    <row r="819">
      <c r="A819" s="148"/>
      <c r="B819" s="148"/>
      <c r="C819" s="53"/>
      <c r="D819" s="53"/>
      <c r="E819" s="53"/>
      <c r="F819" s="53"/>
    </row>
    <row r="820">
      <c r="A820" s="148"/>
      <c r="B820" s="148"/>
      <c r="C820" s="53"/>
      <c r="D820" s="53"/>
      <c r="E820" s="53"/>
      <c r="F820" s="53"/>
    </row>
    <row r="821">
      <c r="A821" s="148"/>
      <c r="B821" s="148"/>
      <c r="C821" s="53"/>
      <c r="D821" s="53"/>
      <c r="E821" s="53"/>
      <c r="F821" s="53"/>
    </row>
    <row r="822">
      <c r="A822" s="148"/>
      <c r="B822" s="148"/>
      <c r="C822" s="53"/>
      <c r="D822" s="53"/>
      <c r="E822" s="53"/>
      <c r="F822" s="53"/>
    </row>
    <row r="823">
      <c r="A823" s="148"/>
      <c r="B823" s="148"/>
      <c r="C823" s="53"/>
      <c r="D823" s="53"/>
      <c r="E823" s="53"/>
      <c r="F823" s="53"/>
    </row>
    <row r="824">
      <c r="A824" s="148"/>
      <c r="B824" s="148"/>
      <c r="C824" s="53"/>
      <c r="D824" s="53"/>
      <c r="E824" s="53"/>
      <c r="F824" s="53"/>
    </row>
    <row r="825">
      <c r="A825" s="148"/>
      <c r="B825" s="148"/>
      <c r="C825" s="53"/>
      <c r="D825" s="53"/>
      <c r="E825" s="53"/>
      <c r="F825" s="53"/>
    </row>
    <row r="826">
      <c r="A826" s="148"/>
      <c r="B826" s="148"/>
      <c r="C826" s="53"/>
      <c r="D826" s="53"/>
      <c r="E826" s="53"/>
      <c r="F826" s="53"/>
    </row>
    <row r="827">
      <c r="A827" s="148"/>
      <c r="B827" s="148"/>
      <c r="C827" s="53"/>
      <c r="D827" s="53"/>
      <c r="E827" s="53"/>
      <c r="F827" s="53"/>
    </row>
    <row r="828">
      <c r="A828" s="148"/>
      <c r="B828" s="148"/>
      <c r="C828" s="53"/>
      <c r="D828" s="53"/>
      <c r="E828" s="53"/>
      <c r="F828" s="53"/>
    </row>
    <row r="829">
      <c r="A829" s="148"/>
      <c r="B829" s="148"/>
      <c r="C829" s="53"/>
      <c r="D829" s="53"/>
      <c r="E829" s="53"/>
      <c r="F829" s="53"/>
    </row>
    <row r="830">
      <c r="A830" s="148"/>
      <c r="B830" s="148"/>
      <c r="C830" s="53"/>
      <c r="D830" s="53"/>
      <c r="E830" s="53"/>
      <c r="F830" s="53"/>
    </row>
    <row r="831">
      <c r="A831" s="148"/>
      <c r="B831" s="148"/>
      <c r="C831" s="53"/>
      <c r="D831" s="53"/>
      <c r="E831" s="53"/>
      <c r="F831" s="53"/>
    </row>
    <row r="832">
      <c r="A832" s="148"/>
      <c r="B832" s="148"/>
      <c r="C832" s="53"/>
      <c r="D832" s="53"/>
      <c r="E832" s="53"/>
      <c r="F832" s="53"/>
    </row>
    <row r="833">
      <c r="A833" s="148"/>
      <c r="B833" s="148"/>
      <c r="C833" s="53"/>
      <c r="D833" s="53"/>
      <c r="E833" s="53"/>
      <c r="F833" s="53"/>
    </row>
    <row r="834">
      <c r="A834" s="148"/>
      <c r="B834" s="148"/>
      <c r="C834" s="53"/>
      <c r="D834" s="53"/>
      <c r="E834" s="53"/>
      <c r="F834" s="53"/>
    </row>
    <row r="835">
      <c r="A835" s="148"/>
      <c r="B835" s="148"/>
      <c r="C835" s="53"/>
      <c r="D835" s="53"/>
      <c r="E835" s="53"/>
      <c r="F835" s="53"/>
    </row>
    <row r="836">
      <c r="A836" s="148"/>
      <c r="B836" s="148"/>
      <c r="C836" s="53"/>
      <c r="D836" s="53"/>
      <c r="E836" s="53"/>
      <c r="F836" s="53"/>
    </row>
    <row r="837">
      <c r="A837" s="148"/>
      <c r="B837" s="148"/>
      <c r="C837" s="53"/>
      <c r="D837" s="53"/>
      <c r="E837" s="53"/>
      <c r="F837" s="53"/>
    </row>
    <row r="838">
      <c r="A838" s="148"/>
      <c r="B838" s="148"/>
      <c r="C838" s="53"/>
      <c r="D838" s="53"/>
      <c r="E838" s="53"/>
      <c r="F838" s="53"/>
    </row>
    <row r="839">
      <c r="A839" s="148"/>
      <c r="B839" s="148"/>
      <c r="C839" s="53"/>
      <c r="D839" s="53"/>
      <c r="E839" s="53"/>
      <c r="F839" s="53"/>
    </row>
    <row r="840">
      <c r="A840" s="148"/>
      <c r="B840" s="148"/>
      <c r="C840" s="53"/>
      <c r="D840" s="53"/>
      <c r="E840" s="53"/>
      <c r="F840" s="53"/>
    </row>
    <row r="841">
      <c r="A841" s="148"/>
      <c r="B841" s="148"/>
      <c r="C841" s="53"/>
      <c r="D841" s="53"/>
      <c r="E841" s="53"/>
      <c r="F841" s="53"/>
    </row>
    <row r="842">
      <c r="A842" s="148"/>
      <c r="B842" s="148"/>
      <c r="C842" s="53"/>
      <c r="D842" s="53"/>
      <c r="E842" s="53"/>
      <c r="F842" s="53"/>
    </row>
    <row r="843">
      <c r="A843" s="148"/>
      <c r="B843" s="148"/>
      <c r="C843" s="53"/>
      <c r="D843" s="53"/>
      <c r="E843" s="53"/>
      <c r="F843" s="53"/>
    </row>
    <row r="844">
      <c r="A844" s="148"/>
      <c r="B844" s="148"/>
      <c r="C844" s="53"/>
      <c r="D844" s="53"/>
      <c r="E844" s="53"/>
      <c r="F844" s="53"/>
    </row>
    <row r="845">
      <c r="A845" s="148"/>
      <c r="B845" s="148"/>
      <c r="C845" s="53"/>
      <c r="D845" s="53"/>
      <c r="E845" s="53"/>
      <c r="F845" s="53"/>
    </row>
    <row r="846">
      <c r="A846" s="148"/>
      <c r="B846" s="148"/>
      <c r="C846" s="53"/>
      <c r="D846" s="53"/>
      <c r="E846" s="53"/>
      <c r="F846" s="53"/>
    </row>
    <row r="847">
      <c r="A847" s="148"/>
      <c r="B847" s="148"/>
      <c r="C847" s="53"/>
      <c r="D847" s="53"/>
      <c r="E847" s="53"/>
      <c r="F847" s="53"/>
    </row>
    <row r="848">
      <c r="A848" s="148"/>
      <c r="B848" s="148"/>
      <c r="C848" s="53"/>
      <c r="D848" s="53"/>
      <c r="E848" s="53"/>
      <c r="F848" s="53"/>
    </row>
    <row r="849">
      <c r="A849" s="148"/>
      <c r="B849" s="148"/>
      <c r="C849" s="53"/>
      <c r="D849" s="53"/>
      <c r="E849" s="53"/>
      <c r="F849" s="53"/>
    </row>
    <row r="850">
      <c r="A850" s="148"/>
      <c r="B850" s="148"/>
      <c r="C850" s="53"/>
      <c r="D850" s="53"/>
      <c r="E850" s="53"/>
      <c r="F850" s="53"/>
    </row>
    <row r="851">
      <c r="A851" s="148"/>
      <c r="B851" s="148"/>
      <c r="C851" s="53"/>
      <c r="D851" s="53"/>
      <c r="E851" s="53"/>
      <c r="F851" s="53"/>
    </row>
    <row r="852">
      <c r="A852" s="148"/>
      <c r="B852" s="148"/>
      <c r="C852" s="53"/>
      <c r="D852" s="53"/>
      <c r="E852" s="53"/>
      <c r="F852" s="53"/>
    </row>
    <row r="853">
      <c r="A853" s="148"/>
      <c r="B853" s="148"/>
      <c r="C853" s="53"/>
      <c r="D853" s="53"/>
      <c r="E853" s="53"/>
      <c r="F853" s="53"/>
    </row>
    <row r="854">
      <c r="A854" s="148"/>
      <c r="B854" s="148"/>
      <c r="C854" s="53"/>
      <c r="D854" s="53"/>
      <c r="E854" s="53"/>
      <c r="F854" s="53"/>
    </row>
    <row r="855">
      <c r="A855" s="148"/>
      <c r="B855" s="148"/>
      <c r="C855" s="53"/>
      <c r="D855" s="53"/>
      <c r="E855" s="53"/>
      <c r="F855" s="53"/>
    </row>
    <row r="856">
      <c r="A856" s="148"/>
      <c r="B856" s="148"/>
      <c r="C856" s="53"/>
      <c r="D856" s="53"/>
      <c r="E856" s="53"/>
      <c r="F856" s="53"/>
    </row>
    <row r="857">
      <c r="A857" s="148"/>
      <c r="B857" s="148"/>
      <c r="C857" s="53"/>
      <c r="D857" s="53"/>
      <c r="E857" s="53"/>
      <c r="F857" s="53"/>
    </row>
    <row r="858">
      <c r="A858" s="148"/>
      <c r="B858" s="148"/>
      <c r="C858" s="53"/>
      <c r="D858" s="53"/>
      <c r="E858" s="53"/>
      <c r="F858" s="53"/>
    </row>
    <row r="859">
      <c r="A859" s="148"/>
      <c r="B859" s="148"/>
      <c r="C859" s="53"/>
      <c r="D859" s="53"/>
      <c r="E859" s="53"/>
      <c r="F859" s="53"/>
    </row>
    <row r="860">
      <c r="A860" s="148"/>
      <c r="B860" s="148"/>
      <c r="C860" s="53"/>
      <c r="D860" s="53"/>
      <c r="E860" s="53"/>
      <c r="F860" s="53"/>
    </row>
    <row r="861">
      <c r="A861" s="148"/>
      <c r="B861" s="148"/>
      <c r="C861" s="53"/>
      <c r="D861" s="53"/>
      <c r="E861" s="53"/>
      <c r="F861" s="53"/>
    </row>
    <row r="862">
      <c r="A862" s="148"/>
      <c r="B862" s="148"/>
      <c r="C862" s="53"/>
      <c r="D862" s="53"/>
      <c r="E862" s="53"/>
      <c r="F862" s="53"/>
    </row>
    <row r="863">
      <c r="A863" s="148"/>
      <c r="B863" s="148"/>
      <c r="C863" s="53"/>
      <c r="D863" s="53"/>
      <c r="E863" s="53"/>
      <c r="F863" s="53"/>
    </row>
    <row r="864">
      <c r="A864" s="148"/>
      <c r="B864" s="148"/>
      <c r="C864" s="53"/>
      <c r="D864" s="53"/>
      <c r="E864" s="53"/>
      <c r="F864" s="53"/>
    </row>
    <row r="865">
      <c r="A865" s="148"/>
      <c r="B865" s="148"/>
      <c r="C865" s="53"/>
      <c r="D865" s="53"/>
      <c r="E865" s="53"/>
      <c r="F865" s="53"/>
    </row>
    <row r="866">
      <c r="A866" s="148"/>
      <c r="B866" s="148"/>
      <c r="C866" s="53"/>
      <c r="D866" s="53"/>
      <c r="E866" s="53"/>
      <c r="F866" s="53"/>
    </row>
    <row r="867">
      <c r="A867" s="148"/>
      <c r="B867" s="148"/>
      <c r="C867" s="53"/>
      <c r="D867" s="53"/>
      <c r="E867" s="53"/>
      <c r="F867" s="53"/>
    </row>
    <row r="868">
      <c r="A868" s="148"/>
      <c r="B868" s="148"/>
      <c r="C868" s="53"/>
      <c r="D868" s="53"/>
      <c r="E868" s="53"/>
      <c r="F868" s="53"/>
    </row>
    <row r="869">
      <c r="A869" s="148"/>
      <c r="B869" s="148"/>
      <c r="C869" s="53"/>
      <c r="D869" s="53"/>
      <c r="E869" s="53"/>
      <c r="F869" s="53"/>
    </row>
    <row r="870">
      <c r="A870" s="148"/>
      <c r="B870" s="148"/>
      <c r="C870" s="53"/>
      <c r="D870" s="53"/>
      <c r="E870" s="53"/>
      <c r="F870" s="53"/>
    </row>
    <row r="871">
      <c r="A871" s="148"/>
      <c r="B871" s="148"/>
      <c r="C871" s="53"/>
      <c r="D871" s="53"/>
      <c r="E871" s="53"/>
      <c r="F871" s="53"/>
    </row>
    <row r="872">
      <c r="A872" s="148"/>
      <c r="B872" s="148"/>
      <c r="C872" s="53"/>
      <c r="D872" s="53"/>
      <c r="E872" s="53"/>
      <c r="F872" s="53"/>
    </row>
    <row r="873">
      <c r="A873" s="148"/>
      <c r="B873" s="148"/>
      <c r="C873" s="53"/>
      <c r="D873" s="53"/>
      <c r="E873" s="53"/>
      <c r="F873" s="53"/>
    </row>
    <row r="874">
      <c r="A874" s="148"/>
      <c r="B874" s="148"/>
      <c r="C874" s="53"/>
      <c r="D874" s="53"/>
      <c r="E874" s="53"/>
      <c r="F874" s="53"/>
    </row>
    <row r="875">
      <c r="A875" s="148"/>
      <c r="B875" s="148"/>
      <c r="C875" s="53"/>
      <c r="D875" s="53"/>
      <c r="E875" s="53"/>
      <c r="F875" s="53"/>
    </row>
    <row r="876">
      <c r="A876" s="148"/>
      <c r="B876" s="148"/>
      <c r="C876" s="53"/>
      <c r="D876" s="53"/>
      <c r="E876" s="53"/>
      <c r="F876" s="53"/>
    </row>
    <row r="877">
      <c r="A877" s="148"/>
      <c r="B877" s="148"/>
      <c r="C877" s="53"/>
      <c r="D877" s="53"/>
      <c r="E877" s="53"/>
      <c r="F877" s="53"/>
    </row>
    <row r="878">
      <c r="A878" s="148"/>
      <c r="B878" s="148"/>
      <c r="C878" s="53"/>
      <c r="D878" s="53"/>
      <c r="E878" s="53"/>
      <c r="F878" s="53"/>
    </row>
    <row r="879">
      <c r="A879" s="148"/>
      <c r="B879" s="148"/>
      <c r="C879" s="53"/>
      <c r="D879" s="53"/>
      <c r="E879" s="53"/>
      <c r="F879" s="53"/>
    </row>
    <row r="880">
      <c r="A880" s="148"/>
      <c r="B880" s="148"/>
      <c r="C880" s="53"/>
      <c r="D880" s="53"/>
      <c r="E880" s="53"/>
      <c r="F880" s="53"/>
    </row>
    <row r="881">
      <c r="A881" s="148"/>
      <c r="B881" s="148"/>
      <c r="C881" s="53"/>
      <c r="D881" s="53"/>
      <c r="E881" s="53"/>
      <c r="F881" s="53"/>
    </row>
    <row r="882">
      <c r="A882" s="148"/>
      <c r="B882" s="148"/>
      <c r="C882" s="53"/>
      <c r="D882" s="53"/>
      <c r="E882" s="53"/>
      <c r="F882" s="53"/>
    </row>
    <row r="883">
      <c r="A883" s="148"/>
      <c r="B883" s="148"/>
      <c r="C883" s="53"/>
      <c r="D883" s="53"/>
      <c r="E883" s="53"/>
      <c r="F883" s="53"/>
    </row>
    <row r="884">
      <c r="A884" s="148"/>
      <c r="B884" s="148"/>
      <c r="C884" s="53"/>
      <c r="D884" s="53"/>
      <c r="E884" s="53"/>
      <c r="F884" s="53"/>
    </row>
    <row r="885">
      <c r="A885" s="148"/>
      <c r="B885" s="148"/>
      <c r="C885" s="53"/>
      <c r="D885" s="53"/>
      <c r="E885" s="53"/>
      <c r="F885" s="53"/>
    </row>
    <row r="886">
      <c r="A886" s="148"/>
      <c r="B886" s="148"/>
      <c r="C886" s="53"/>
      <c r="D886" s="53"/>
      <c r="E886" s="53"/>
      <c r="F886" s="53"/>
    </row>
    <row r="887">
      <c r="A887" s="148"/>
      <c r="B887" s="148"/>
      <c r="C887" s="53"/>
      <c r="D887" s="53"/>
      <c r="E887" s="53"/>
      <c r="F887" s="53"/>
    </row>
    <row r="888">
      <c r="A888" s="148"/>
      <c r="B888" s="148"/>
      <c r="C888" s="53"/>
      <c r="D888" s="53"/>
      <c r="E888" s="53"/>
      <c r="F888" s="53"/>
    </row>
    <row r="889">
      <c r="A889" s="148"/>
      <c r="B889" s="148"/>
      <c r="C889" s="53"/>
      <c r="D889" s="53"/>
      <c r="E889" s="53"/>
      <c r="F889" s="53"/>
    </row>
    <row r="890">
      <c r="A890" s="148"/>
      <c r="B890" s="148"/>
      <c r="C890" s="53"/>
      <c r="D890" s="53"/>
      <c r="E890" s="53"/>
      <c r="F890" s="53"/>
    </row>
    <row r="891">
      <c r="A891" s="148"/>
      <c r="B891" s="148"/>
      <c r="C891" s="53"/>
      <c r="D891" s="53"/>
      <c r="E891" s="53"/>
      <c r="F891" s="53"/>
    </row>
    <row r="892">
      <c r="A892" s="148"/>
      <c r="B892" s="148"/>
      <c r="C892" s="53"/>
      <c r="D892" s="53"/>
      <c r="E892" s="53"/>
      <c r="F892" s="53"/>
    </row>
    <row r="893">
      <c r="A893" s="148"/>
      <c r="B893" s="148"/>
      <c r="C893" s="53"/>
      <c r="D893" s="53"/>
      <c r="E893" s="53"/>
      <c r="F893" s="53"/>
    </row>
    <row r="894">
      <c r="A894" s="148"/>
      <c r="B894" s="148"/>
      <c r="C894" s="53"/>
      <c r="D894" s="53"/>
      <c r="E894" s="53"/>
      <c r="F894" s="53"/>
    </row>
    <row r="895">
      <c r="A895" s="148"/>
      <c r="B895" s="148"/>
      <c r="C895" s="53"/>
      <c r="D895" s="53"/>
      <c r="E895" s="53"/>
      <c r="F895" s="53"/>
    </row>
    <row r="896">
      <c r="A896" s="148"/>
      <c r="B896" s="148"/>
      <c r="C896" s="53"/>
      <c r="D896" s="53"/>
      <c r="E896" s="53"/>
      <c r="F896" s="53"/>
    </row>
    <row r="897">
      <c r="A897" s="148"/>
      <c r="B897" s="148"/>
      <c r="C897" s="53"/>
      <c r="D897" s="53"/>
      <c r="E897" s="53"/>
      <c r="F897" s="53"/>
    </row>
    <row r="898">
      <c r="A898" s="148"/>
      <c r="B898" s="148"/>
      <c r="C898" s="53"/>
      <c r="D898" s="53"/>
      <c r="E898" s="53"/>
      <c r="F898" s="53"/>
    </row>
    <row r="899">
      <c r="A899" s="148"/>
      <c r="B899" s="148"/>
      <c r="C899" s="53"/>
      <c r="D899" s="53"/>
      <c r="E899" s="53"/>
      <c r="F899" s="53"/>
    </row>
    <row r="900">
      <c r="A900" s="148"/>
      <c r="B900" s="148"/>
      <c r="C900" s="53"/>
      <c r="D900" s="53"/>
      <c r="E900" s="53"/>
      <c r="F900" s="53"/>
    </row>
    <row r="901">
      <c r="A901" s="148"/>
      <c r="B901" s="148"/>
      <c r="C901" s="53"/>
      <c r="D901" s="53"/>
      <c r="E901" s="53"/>
      <c r="F901" s="53"/>
    </row>
    <row r="902">
      <c r="A902" s="148"/>
      <c r="B902" s="148"/>
      <c r="C902" s="53"/>
      <c r="D902" s="53"/>
      <c r="E902" s="53"/>
      <c r="F902" s="53"/>
    </row>
    <row r="903">
      <c r="A903" s="148"/>
      <c r="B903" s="148"/>
      <c r="C903" s="53"/>
      <c r="D903" s="53"/>
      <c r="E903" s="53"/>
      <c r="F903" s="53"/>
    </row>
    <row r="904">
      <c r="A904" s="148"/>
      <c r="B904" s="148"/>
      <c r="C904" s="53"/>
      <c r="D904" s="53"/>
      <c r="E904" s="53"/>
      <c r="F904" s="53"/>
    </row>
    <row r="905">
      <c r="A905" s="148"/>
      <c r="B905" s="148"/>
      <c r="C905" s="53"/>
      <c r="D905" s="53"/>
      <c r="E905" s="53"/>
      <c r="F905" s="53"/>
    </row>
    <row r="906">
      <c r="A906" s="148"/>
      <c r="B906" s="148"/>
      <c r="C906" s="53"/>
      <c r="D906" s="53"/>
      <c r="E906" s="53"/>
      <c r="F906" s="53"/>
    </row>
    <row r="907">
      <c r="A907" s="148"/>
      <c r="B907" s="148"/>
      <c r="C907" s="53"/>
      <c r="D907" s="53"/>
      <c r="E907" s="53"/>
      <c r="F907" s="53"/>
    </row>
    <row r="908">
      <c r="A908" s="148"/>
      <c r="B908" s="148"/>
      <c r="C908" s="53"/>
      <c r="D908" s="53"/>
      <c r="E908" s="53"/>
      <c r="F908" s="53"/>
    </row>
    <row r="909">
      <c r="A909" s="148"/>
      <c r="B909" s="148"/>
      <c r="C909" s="53"/>
      <c r="D909" s="53"/>
      <c r="E909" s="53"/>
      <c r="F909" s="53"/>
    </row>
    <row r="910">
      <c r="A910" s="148"/>
      <c r="B910" s="148"/>
      <c r="C910" s="53"/>
      <c r="D910" s="53"/>
      <c r="E910" s="53"/>
      <c r="F910" s="53"/>
    </row>
    <row r="911">
      <c r="A911" s="148"/>
      <c r="B911" s="148"/>
      <c r="C911" s="53"/>
      <c r="D911" s="53"/>
      <c r="E911" s="53"/>
      <c r="F911" s="53"/>
    </row>
    <row r="912">
      <c r="A912" s="148"/>
      <c r="B912" s="148"/>
      <c r="C912" s="53"/>
      <c r="D912" s="53"/>
      <c r="E912" s="53"/>
      <c r="F912" s="53"/>
    </row>
    <row r="913">
      <c r="A913" s="148"/>
      <c r="B913" s="148"/>
      <c r="C913" s="53"/>
      <c r="D913" s="53"/>
      <c r="E913" s="53"/>
      <c r="F913" s="53"/>
    </row>
    <row r="914">
      <c r="A914" s="148"/>
      <c r="B914" s="148"/>
      <c r="C914" s="53"/>
      <c r="D914" s="53"/>
      <c r="E914" s="53"/>
      <c r="F914" s="53"/>
    </row>
    <row r="915">
      <c r="A915" s="148"/>
      <c r="B915" s="148"/>
      <c r="C915" s="53"/>
      <c r="D915" s="53"/>
      <c r="E915" s="53"/>
      <c r="F915" s="53"/>
    </row>
    <row r="916">
      <c r="A916" s="148"/>
      <c r="B916" s="148"/>
      <c r="C916" s="53"/>
      <c r="D916" s="53"/>
      <c r="E916" s="53"/>
      <c r="F916" s="53"/>
    </row>
    <row r="917">
      <c r="A917" s="148"/>
      <c r="B917" s="148"/>
      <c r="C917" s="53"/>
      <c r="D917" s="53"/>
      <c r="E917" s="53"/>
      <c r="F917" s="53"/>
    </row>
    <row r="918">
      <c r="A918" s="148"/>
      <c r="B918" s="148"/>
      <c r="C918" s="53"/>
      <c r="D918" s="53"/>
      <c r="E918" s="53"/>
      <c r="F918" s="53"/>
    </row>
    <row r="919">
      <c r="A919" s="148"/>
      <c r="B919" s="148"/>
      <c r="C919" s="53"/>
      <c r="D919" s="53"/>
      <c r="E919" s="53"/>
      <c r="F919" s="53"/>
    </row>
    <row r="920">
      <c r="A920" s="148"/>
      <c r="B920" s="148"/>
      <c r="C920" s="53"/>
      <c r="D920" s="53"/>
      <c r="E920" s="53"/>
      <c r="F920" s="53"/>
    </row>
    <row r="921">
      <c r="A921" s="148"/>
      <c r="B921" s="148"/>
      <c r="C921" s="53"/>
      <c r="D921" s="53"/>
      <c r="E921" s="53"/>
      <c r="F921" s="53"/>
    </row>
    <row r="922">
      <c r="A922" s="148"/>
      <c r="B922" s="148"/>
      <c r="C922" s="53"/>
      <c r="D922" s="53"/>
      <c r="E922" s="53"/>
      <c r="F922" s="53"/>
    </row>
    <row r="923">
      <c r="A923" s="148"/>
      <c r="B923" s="148"/>
      <c r="C923" s="53"/>
      <c r="D923" s="53"/>
      <c r="E923" s="53"/>
      <c r="F923" s="53"/>
    </row>
    <row r="924">
      <c r="A924" s="148"/>
      <c r="B924" s="148"/>
      <c r="C924" s="53"/>
      <c r="D924" s="53"/>
      <c r="E924" s="53"/>
      <c r="F924" s="53"/>
    </row>
    <row r="925">
      <c r="A925" s="148"/>
      <c r="B925" s="148"/>
      <c r="C925" s="53"/>
      <c r="D925" s="53"/>
      <c r="E925" s="53"/>
      <c r="F925" s="53"/>
    </row>
    <row r="926">
      <c r="A926" s="148"/>
      <c r="B926" s="148"/>
      <c r="C926" s="53"/>
      <c r="D926" s="53"/>
      <c r="E926" s="53"/>
      <c r="F926" s="53"/>
    </row>
    <row r="927">
      <c r="A927" s="148"/>
      <c r="B927" s="148"/>
      <c r="C927" s="53"/>
      <c r="D927" s="53"/>
      <c r="E927" s="53"/>
      <c r="F927" s="53"/>
    </row>
    <row r="928">
      <c r="A928" s="148"/>
      <c r="B928" s="148"/>
      <c r="C928" s="53"/>
      <c r="D928" s="53"/>
      <c r="E928" s="53"/>
      <c r="F928" s="53"/>
    </row>
    <row r="929">
      <c r="A929" s="148"/>
      <c r="B929" s="148"/>
      <c r="C929" s="53"/>
      <c r="D929" s="53"/>
      <c r="E929" s="53"/>
      <c r="F929" s="53"/>
    </row>
    <row r="930">
      <c r="A930" s="148"/>
      <c r="B930" s="148"/>
      <c r="C930" s="53"/>
      <c r="D930" s="53"/>
      <c r="E930" s="53"/>
      <c r="F930" s="53"/>
    </row>
    <row r="931">
      <c r="A931" s="148"/>
      <c r="B931" s="148"/>
      <c r="C931" s="53"/>
      <c r="D931" s="53"/>
      <c r="E931" s="53"/>
      <c r="F931" s="53"/>
    </row>
    <row r="932">
      <c r="A932" s="148"/>
      <c r="B932" s="148"/>
      <c r="C932" s="53"/>
      <c r="D932" s="53"/>
      <c r="E932" s="53"/>
      <c r="F932" s="53"/>
    </row>
    <row r="933">
      <c r="A933" s="148"/>
      <c r="B933" s="148"/>
      <c r="C933" s="53"/>
      <c r="D933" s="53"/>
      <c r="E933" s="53"/>
      <c r="F933" s="53"/>
    </row>
    <row r="934">
      <c r="A934" s="148"/>
      <c r="B934" s="148"/>
      <c r="C934" s="53"/>
      <c r="D934" s="53"/>
      <c r="E934" s="53"/>
      <c r="F934" s="53"/>
    </row>
    <row r="935">
      <c r="A935" s="148"/>
      <c r="B935" s="148"/>
      <c r="C935" s="53"/>
      <c r="D935" s="53"/>
      <c r="E935" s="53"/>
      <c r="F935" s="53"/>
    </row>
    <row r="936">
      <c r="A936" s="148"/>
      <c r="B936" s="148"/>
      <c r="C936" s="53"/>
      <c r="D936" s="53"/>
      <c r="E936" s="53"/>
      <c r="F936" s="53"/>
    </row>
    <row r="937">
      <c r="A937" s="148"/>
      <c r="B937" s="148"/>
      <c r="C937" s="53"/>
      <c r="D937" s="53"/>
      <c r="E937" s="53"/>
      <c r="F937" s="53"/>
    </row>
    <row r="938">
      <c r="A938" s="148"/>
      <c r="B938" s="148"/>
      <c r="C938" s="53"/>
      <c r="D938" s="53"/>
      <c r="E938" s="53"/>
      <c r="F938" s="53"/>
    </row>
    <row r="939">
      <c r="A939" s="148"/>
      <c r="B939" s="148"/>
      <c r="C939" s="53"/>
      <c r="D939" s="53"/>
      <c r="E939" s="53"/>
      <c r="F939" s="53"/>
    </row>
    <row r="940">
      <c r="A940" s="148"/>
      <c r="B940" s="148"/>
      <c r="C940" s="53"/>
      <c r="D940" s="53"/>
      <c r="E940" s="53"/>
      <c r="F940" s="53"/>
    </row>
    <row r="941">
      <c r="A941" s="148"/>
      <c r="B941" s="148"/>
      <c r="C941" s="53"/>
      <c r="D941" s="53"/>
      <c r="E941" s="53"/>
      <c r="F941" s="53"/>
    </row>
    <row r="942">
      <c r="A942" s="148"/>
      <c r="B942" s="148"/>
      <c r="C942" s="53"/>
      <c r="D942" s="53"/>
      <c r="E942" s="53"/>
      <c r="F942" s="53"/>
    </row>
    <row r="943">
      <c r="A943" s="148"/>
      <c r="B943" s="148"/>
      <c r="C943" s="53"/>
      <c r="D943" s="53"/>
      <c r="E943" s="53"/>
      <c r="F943" s="53"/>
    </row>
    <row r="944">
      <c r="A944" s="148"/>
      <c r="B944" s="148"/>
      <c r="C944" s="53"/>
      <c r="D944" s="53"/>
      <c r="E944" s="53"/>
      <c r="F944" s="53"/>
    </row>
    <row r="945">
      <c r="A945" s="148"/>
      <c r="B945" s="148"/>
      <c r="C945" s="53"/>
      <c r="D945" s="53"/>
      <c r="E945" s="53"/>
      <c r="F945" s="53"/>
    </row>
    <row r="946">
      <c r="A946" s="148"/>
      <c r="B946" s="148"/>
      <c r="C946" s="53"/>
      <c r="D946" s="53"/>
      <c r="E946" s="53"/>
      <c r="F946" s="53"/>
    </row>
    <row r="947">
      <c r="A947" s="148"/>
      <c r="B947" s="148"/>
      <c r="C947" s="53"/>
      <c r="D947" s="53"/>
      <c r="E947" s="53"/>
      <c r="F947" s="53"/>
    </row>
    <row r="948">
      <c r="A948" s="148"/>
      <c r="B948" s="148"/>
      <c r="C948" s="53"/>
      <c r="D948" s="53"/>
      <c r="E948" s="53"/>
      <c r="F948" s="53"/>
    </row>
    <row r="949">
      <c r="A949" s="148"/>
      <c r="B949" s="148"/>
      <c r="C949" s="53"/>
      <c r="D949" s="53"/>
      <c r="E949" s="53"/>
      <c r="F949" s="53"/>
    </row>
    <row r="950">
      <c r="A950" s="148"/>
      <c r="B950" s="148"/>
      <c r="C950" s="53"/>
      <c r="D950" s="53"/>
      <c r="E950" s="53"/>
      <c r="F950" s="53"/>
    </row>
    <row r="951">
      <c r="A951" s="148"/>
      <c r="B951" s="148"/>
      <c r="C951" s="53"/>
      <c r="D951" s="53"/>
      <c r="E951" s="53"/>
      <c r="F951" s="53"/>
    </row>
    <row r="952">
      <c r="A952" s="148"/>
      <c r="B952" s="148"/>
      <c r="C952" s="53"/>
      <c r="D952" s="53"/>
      <c r="E952" s="53"/>
      <c r="F952" s="53"/>
    </row>
    <row r="953">
      <c r="A953" s="148"/>
      <c r="B953" s="148"/>
      <c r="C953" s="53"/>
      <c r="D953" s="53"/>
      <c r="E953" s="53"/>
      <c r="F953" s="53"/>
    </row>
    <row r="954">
      <c r="A954" s="148"/>
      <c r="B954" s="148"/>
      <c r="C954" s="53"/>
      <c r="D954" s="53"/>
      <c r="E954" s="53"/>
      <c r="F954" s="53"/>
    </row>
    <row r="955">
      <c r="A955" s="148"/>
      <c r="B955" s="148"/>
      <c r="C955" s="53"/>
      <c r="D955" s="53"/>
      <c r="E955" s="53"/>
      <c r="F955" s="53"/>
    </row>
    <row r="956">
      <c r="A956" s="148"/>
      <c r="B956" s="148"/>
      <c r="C956" s="53"/>
      <c r="D956" s="53"/>
      <c r="E956" s="53"/>
      <c r="F956" s="53"/>
    </row>
    <row r="957">
      <c r="A957" s="148"/>
      <c r="B957" s="148"/>
      <c r="C957" s="53"/>
      <c r="D957" s="53"/>
      <c r="E957" s="53"/>
      <c r="F957" s="53"/>
    </row>
    <row r="958">
      <c r="A958" s="148"/>
      <c r="B958" s="148"/>
      <c r="C958" s="53"/>
      <c r="D958" s="53"/>
      <c r="E958" s="53"/>
      <c r="F958" s="53"/>
    </row>
    <row r="959">
      <c r="A959" s="148"/>
      <c r="B959" s="148"/>
      <c r="C959" s="53"/>
      <c r="D959" s="53"/>
      <c r="E959" s="53"/>
      <c r="F959" s="53"/>
    </row>
    <row r="960">
      <c r="A960" s="148"/>
      <c r="B960" s="148"/>
      <c r="C960" s="53"/>
      <c r="D960" s="53"/>
      <c r="E960" s="53"/>
      <c r="F960" s="53"/>
    </row>
    <row r="961">
      <c r="A961" s="148"/>
      <c r="B961" s="148"/>
      <c r="C961" s="53"/>
      <c r="D961" s="53"/>
      <c r="E961" s="53"/>
      <c r="F961" s="53"/>
    </row>
    <row r="962">
      <c r="A962" s="148"/>
      <c r="B962" s="148"/>
      <c r="C962" s="53"/>
      <c r="D962" s="53"/>
      <c r="E962" s="53"/>
      <c r="F962" s="53"/>
    </row>
    <row r="963">
      <c r="A963" s="148"/>
      <c r="B963" s="148"/>
      <c r="C963" s="53"/>
      <c r="D963" s="53"/>
      <c r="E963" s="53"/>
      <c r="F963" s="53"/>
    </row>
    <row r="964">
      <c r="A964" s="148"/>
      <c r="B964" s="148"/>
      <c r="C964" s="53"/>
      <c r="D964" s="53"/>
      <c r="E964" s="53"/>
      <c r="F964" s="53"/>
    </row>
    <row r="965">
      <c r="A965" s="148"/>
      <c r="B965" s="148"/>
      <c r="C965" s="53"/>
      <c r="D965" s="53"/>
      <c r="E965" s="53"/>
      <c r="F965" s="53"/>
    </row>
    <row r="966">
      <c r="A966" s="148"/>
      <c r="B966" s="148"/>
      <c r="C966" s="53"/>
      <c r="D966" s="53"/>
      <c r="E966" s="53"/>
      <c r="F966" s="53"/>
    </row>
    <row r="967">
      <c r="A967" s="148"/>
      <c r="B967" s="148"/>
      <c r="C967" s="53"/>
      <c r="D967" s="53"/>
      <c r="E967" s="53"/>
      <c r="F967" s="53"/>
    </row>
    <row r="968">
      <c r="A968" s="148"/>
      <c r="B968" s="148"/>
      <c r="C968" s="53"/>
      <c r="D968" s="53"/>
      <c r="E968" s="53"/>
      <c r="F968" s="53"/>
    </row>
    <row r="969">
      <c r="A969" s="148"/>
      <c r="B969" s="148"/>
      <c r="C969" s="53"/>
      <c r="D969" s="53"/>
      <c r="E969" s="53"/>
      <c r="F969" s="53"/>
    </row>
    <row r="970">
      <c r="A970" s="148"/>
      <c r="B970" s="148"/>
      <c r="C970" s="53"/>
      <c r="D970" s="53"/>
      <c r="E970" s="53"/>
      <c r="F970" s="53"/>
    </row>
    <row r="971">
      <c r="A971" s="148"/>
      <c r="B971" s="148"/>
      <c r="C971" s="53"/>
      <c r="D971" s="53"/>
      <c r="E971" s="53"/>
      <c r="F971" s="53"/>
    </row>
    <row r="972">
      <c r="A972" s="148"/>
      <c r="B972" s="148"/>
      <c r="C972" s="53"/>
      <c r="D972" s="53"/>
      <c r="E972" s="53"/>
      <c r="F972" s="53"/>
    </row>
    <row r="973">
      <c r="A973" s="148"/>
      <c r="B973" s="148"/>
      <c r="C973" s="53"/>
      <c r="D973" s="53"/>
      <c r="E973" s="53"/>
      <c r="F973" s="53"/>
    </row>
    <row r="974">
      <c r="A974" s="148"/>
      <c r="B974" s="148"/>
      <c r="C974" s="53"/>
      <c r="D974" s="53"/>
      <c r="E974" s="53"/>
      <c r="F974" s="53"/>
    </row>
    <row r="975">
      <c r="A975" s="148"/>
      <c r="B975" s="148"/>
      <c r="C975" s="53"/>
      <c r="D975" s="53"/>
      <c r="E975" s="53"/>
      <c r="F975" s="53"/>
    </row>
    <row r="976">
      <c r="A976" s="148"/>
      <c r="B976" s="148"/>
      <c r="C976" s="53"/>
      <c r="D976" s="53"/>
      <c r="E976" s="53"/>
      <c r="F976" s="53"/>
    </row>
    <row r="977">
      <c r="A977" s="148"/>
      <c r="B977" s="148"/>
      <c r="C977" s="53"/>
      <c r="D977" s="53"/>
      <c r="E977" s="53"/>
      <c r="F977" s="53"/>
    </row>
    <row r="978">
      <c r="A978" s="148"/>
      <c r="B978" s="148"/>
      <c r="C978" s="53"/>
      <c r="D978" s="53"/>
      <c r="E978" s="53"/>
      <c r="F978" s="53"/>
    </row>
    <row r="979">
      <c r="A979" s="148"/>
      <c r="B979" s="148"/>
      <c r="C979" s="53"/>
      <c r="D979" s="53"/>
      <c r="E979" s="53"/>
      <c r="F979" s="53"/>
    </row>
    <row r="980">
      <c r="A980" s="148"/>
      <c r="B980" s="148"/>
      <c r="C980" s="53"/>
      <c r="D980" s="53"/>
      <c r="E980" s="53"/>
      <c r="F980" s="53"/>
    </row>
    <row r="981">
      <c r="A981" s="148"/>
      <c r="B981" s="148"/>
      <c r="C981" s="53"/>
      <c r="D981" s="53"/>
      <c r="E981" s="53"/>
      <c r="F981" s="53"/>
    </row>
    <row r="982">
      <c r="A982" s="148"/>
      <c r="B982" s="148"/>
      <c r="C982" s="53"/>
      <c r="D982" s="53"/>
      <c r="E982" s="53"/>
      <c r="F982" s="53"/>
    </row>
    <row r="983">
      <c r="A983" s="148"/>
      <c r="B983" s="148"/>
      <c r="C983" s="53"/>
      <c r="D983" s="53"/>
      <c r="E983" s="53"/>
      <c r="F983" s="53"/>
    </row>
    <row r="984">
      <c r="A984" s="148"/>
      <c r="B984" s="148"/>
      <c r="C984" s="53"/>
      <c r="D984" s="53"/>
      <c r="E984" s="53"/>
      <c r="F984" s="53"/>
    </row>
    <row r="985">
      <c r="A985" s="148"/>
      <c r="B985" s="148"/>
      <c r="C985" s="53"/>
      <c r="D985" s="53"/>
      <c r="E985" s="53"/>
      <c r="F985" s="53"/>
    </row>
    <row r="986">
      <c r="A986" s="148"/>
      <c r="B986" s="148"/>
      <c r="C986" s="53"/>
      <c r="D986" s="53"/>
      <c r="E986" s="53"/>
      <c r="F986" s="53"/>
    </row>
    <row r="987">
      <c r="A987" s="148"/>
      <c r="B987" s="148"/>
      <c r="C987" s="53"/>
      <c r="D987" s="53"/>
      <c r="E987" s="53"/>
      <c r="F987" s="53"/>
    </row>
    <row r="988">
      <c r="A988" s="148"/>
      <c r="B988" s="148"/>
      <c r="C988" s="53"/>
      <c r="D988" s="53"/>
      <c r="E988" s="53"/>
      <c r="F988" s="53"/>
    </row>
    <row r="989">
      <c r="A989" s="148"/>
      <c r="B989" s="148"/>
      <c r="C989" s="53"/>
      <c r="D989" s="53"/>
      <c r="E989" s="53"/>
      <c r="F989" s="53"/>
    </row>
    <row r="990">
      <c r="A990" s="148"/>
      <c r="B990" s="148"/>
      <c r="C990" s="53"/>
      <c r="D990" s="53"/>
      <c r="E990" s="53"/>
      <c r="F990" s="53"/>
    </row>
    <row r="991">
      <c r="A991" s="148"/>
      <c r="B991" s="148"/>
      <c r="C991" s="53"/>
      <c r="D991" s="53"/>
      <c r="E991" s="53"/>
      <c r="F991" s="53"/>
    </row>
    <row r="992">
      <c r="A992" s="148"/>
      <c r="B992" s="148"/>
      <c r="C992" s="53"/>
      <c r="D992" s="53"/>
      <c r="E992" s="53"/>
      <c r="F992" s="53"/>
    </row>
    <row r="993">
      <c r="A993" s="148"/>
      <c r="B993" s="148"/>
      <c r="C993" s="53"/>
      <c r="D993" s="53"/>
      <c r="E993" s="53"/>
      <c r="F993" s="53"/>
    </row>
    <row r="994">
      <c r="A994" s="148"/>
      <c r="B994" s="148"/>
      <c r="C994" s="53"/>
      <c r="D994" s="53"/>
      <c r="E994" s="53"/>
      <c r="F994" s="53"/>
    </row>
    <row r="995">
      <c r="A995" s="148"/>
      <c r="B995" s="148"/>
      <c r="C995" s="53"/>
      <c r="D995" s="53"/>
      <c r="E995" s="53"/>
      <c r="F995" s="53"/>
    </row>
    <row r="996">
      <c r="A996" s="148"/>
      <c r="B996" s="148"/>
      <c r="C996" s="53"/>
      <c r="D996" s="53"/>
      <c r="E996" s="53"/>
      <c r="F996" s="53"/>
    </row>
    <row r="997">
      <c r="A997" s="148"/>
      <c r="B997" s="148"/>
      <c r="C997" s="53"/>
      <c r="D997" s="53"/>
      <c r="E997" s="53"/>
      <c r="F997" s="53"/>
    </row>
    <row r="998">
      <c r="A998" s="148"/>
      <c r="B998" s="148"/>
      <c r="C998" s="53"/>
      <c r="D998" s="53"/>
      <c r="E998" s="53"/>
      <c r="F998" s="53"/>
    </row>
    <row r="999">
      <c r="A999" s="148"/>
      <c r="B999" s="148"/>
      <c r="C999" s="53"/>
      <c r="D999" s="53"/>
      <c r="E999" s="53"/>
      <c r="F999" s="53"/>
    </row>
    <row r="1000">
      <c r="A1000" s="148"/>
      <c r="B1000" s="148"/>
      <c r="C1000" s="53"/>
      <c r="D1000" s="53"/>
      <c r="E1000" s="53"/>
      <c r="F1000" s="53"/>
    </row>
    <row r="1001">
      <c r="A1001" s="148"/>
      <c r="B1001" s="148"/>
      <c r="C1001" s="53"/>
      <c r="D1001" s="53"/>
      <c r="E1001" s="53"/>
      <c r="F1001" s="53"/>
    </row>
    <row r="1002">
      <c r="A1002" s="148"/>
      <c r="B1002" s="148"/>
      <c r="C1002" s="53"/>
      <c r="D1002" s="53"/>
      <c r="E1002" s="53"/>
      <c r="F1002" s="53"/>
    </row>
    <row r="1003">
      <c r="A1003" s="148"/>
      <c r="B1003" s="148"/>
      <c r="C1003" s="53"/>
      <c r="D1003" s="53"/>
      <c r="E1003" s="53"/>
      <c r="F1003" s="53"/>
    </row>
    <row r="1004">
      <c r="A1004" s="148"/>
      <c r="B1004" s="148"/>
      <c r="C1004" s="53"/>
      <c r="D1004" s="53"/>
      <c r="E1004" s="53"/>
      <c r="F1004" s="53"/>
    </row>
  </sheetData>
  <mergeCells count="2">
    <mergeCell ref="A1:A16"/>
    <mergeCell ref="G1:G16"/>
  </mergeCells>
  <drawing r:id="rId1"/>
</worksheet>
</file>